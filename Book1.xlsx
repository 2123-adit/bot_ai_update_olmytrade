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tingle\kom 4\"/>
    </mc:Choice>
  </mc:AlternateContent>
  <xr:revisionPtr revIDLastSave="0" documentId="8_{AA3D0F14-CB82-4BFC-9FAC-363B7D57F0EA}" xr6:coauthVersionLast="47" xr6:coauthVersionMax="47" xr10:uidLastSave="{00000000-0000-0000-0000-000000000000}"/>
  <bookViews>
    <workbookView xWindow="-110" yWindow="-110" windowWidth="19420" windowHeight="10300" xr2:uid="{4EEE2D59-6085-4FCC-9AD6-DEEF33B90D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0" i="1" l="1"/>
  <c r="J140" i="1"/>
  <c r="I118" i="1"/>
  <c r="K103" i="1"/>
  <c r="H48" i="1"/>
  <c r="E4" i="1"/>
  <c r="F4" i="1" s="1"/>
  <c r="G4" i="1" s="1"/>
  <c r="D4" i="1"/>
  <c r="C4" i="1"/>
  <c r="B5" i="1" s="1"/>
  <c r="G3" i="1"/>
  <c r="D5" i="1" l="1"/>
  <c r="C5" i="1" l="1"/>
  <c r="B6" i="1" s="1"/>
  <c r="E5" i="1"/>
  <c r="F5" i="1" s="1"/>
  <c r="G5" i="1" s="1"/>
  <c r="D6" i="1" l="1"/>
  <c r="C6" i="1" l="1"/>
  <c r="B7" i="1" s="1"/>
  <c r="E6" i="1"/>
  <c r="F6" i="1" s="1"/>
  <c r="G6" i="1" s="1"/>
  <c r="D7" i="1" l="1"/>
  <c r="E7" i="1" l="1"/>
  <c r="F7" i="1" s="1"/>
  <c r="G7" i="1" s="1"/>
  <c r="C7" i="1"/>
  <c r="B8" i="1" s="1"/>
  <c r="D8" i="1" l="1"/>
  <c r="E8" i="1" l="1"/>
  <c r="F8" i="1" s="1"/>
  <c r="G8" i="1" s="1"/>
  <c r="C8" i="1"/>
  <c r="B9" i="1" s="1"/>
  <c r="D9" i="1" l="1"/>
  <c r="E9" i="1" l="1"/>
  <c r="F9" i="1" s="1"/>
  <c r="G9" i="1" s="1"/>
  <c r="C9" i="1"/>
  <c r="B10" i="1" s="1"/>
  <c r="D10" i="1" l="1"/>
  <c r="E10" i="1" l="1"/>
  <c r="F10" i="1" s="1"/>
  <c r="G10" i="1" s="1"/>
  <c r="C10" i="1"/>
  <c r="B11" i="1" s="1"/>
  <c r="D11" i="1" l="1"/>
  <c r="E11" i="1" l="1"/>
  <c r="F11" i="1" s="1"/>
  <c r="G11" i="1" s="1"/>
  <c r="C11" i="1"/>
  <c r="B12" i="1" s="1"/>
  <c r="D12" i="1" l="1"/>
  <c r="C12" i="1" l="1"/>
  <c r="B13" i="1" s="1"/>
  <c r="E12" i="1"/>
  <c r="F12" i="1" s="1"/>
  <c r="G12" i="1" s="1"/>
  <c r="D13" i="1" l="1"/>
  <c r="C13" i="1" l="1"/>
  <c r="B14" i="1" s="1"/>
  <c r="E13" i="1"/>
  <c r="F13" i="1" s="1"/>
  <c r="G13" i="1" s="1"/>
  <c r="D14" i="1" l="1"/>
  <c r="C14" i="1" l="1"/>
  <c r="B15" i="1" s="1"/>
  <c r="E14" i="1"/>
  <c r="F14" i="1" s="1"/>
  <c r="G14" i="1" s="1"/>
  <c r="D15" i="1" l="1"/>
  <c r="I15" i="1" l="1"/>
  <c r="E15" i="1"/>
  <c r="F15" i="1" s="1"/>
  <c r="G15" i="1" s="1"/>
  <c r="C15" i="1"/>
  <c r="B16" i="1" s="1"/>
  <c r="D16" i="1" l="1"/>
  <c r="E16" i="1" l="1"/>
  <c r="F16" i="1" s="1"/>
  <c r="G16" i="1" s="1"/>
  <c r="C16" i="1"/>
  <c r="B17" i="1" s="1"/>
  <c r="D17" i="1" l="1"/>
  <c r="C17" i="1" l="1"/>
  <c r="B18" i="1" s="1"/>
  <c r="E17" i="1"/>
  <c r="F17" i="1" s="1"/>
  <c r="G17" i="1" s="1"/>
  <c r="D18" i="1" l="1"/>
  <c r="E18" i="1" l="1"/>
  <c r="F18" i="1" s="1"/>
  <c r="G18" i="1" s="1"/>
  <c r="C18" i="1"/>
  <c r="B19" i="1" s="1"/>
  <c r="D19" i="1" l="1"/>
  <c r="C19" i="1" l="1"/>
  <c r="B20" i="1" s="1"/>
  <c r="E19" i="1"/>
  <c r="F19" i="1" s="1"/>
  <c r="G19" i="1" s="1"/>
  <c r="D20" i="1" l="1"/>
  <c r="E20" i="1" l="1"/>
  <c r="F20" i="1" s="1"/>
  <c r="G20" i="1" s="1"/>
  <c r="C20" i="1"/>
  <c r="B21" i="1" s="1"/>
  <c r="D21" i="1" l="1"/>
  <c r="C21" i="1" l="1"/>
  <c r="B22" i="1" s="1"/>
  <c r="E21" i="1"/>
  <c r="F21" i="1" s="1"/>
  <c r="G21" i="1" s="1"/>
  <c r="D22" i="1" l="1"/>
  <c r="E22" i="1" l="1"/>
  <c r="F22" i="1" s="1"/>
  <c r="G22" i="1" s="1"/>
  <c r="C22" i="1"/>
  <c r="B23" i="1" s="1"/>
  <c r="D23" i="1" l="1"/>
  <c r="C23" i="1" l="1"/>
  <c r="B24" i="1" s="1"/>
  <c r="E23" i="1"/>
  <c r="F23" i="1" s="1"/>
  <c r="G23" i="1" s="1"/>
  <c r="D24" i="1" l="1"/>
  <c r="E24" i="1" l="1"/>
  <c r="F24" i="1" s="1"/>
  <c r="G24" i="1" s="1"/>
  <c r="C24" i="1"/>
  <c r="B25" i="1" s="1"/>
  <c r="D25" i="1" l="1"/>
  <c r="E25" i="1" l="1"/>
  <c r="F25" i="1" s="1"/>
  <c r="G25" i="1" s="1"/>
  <c r="C25" i="1"/>
  <c r="B26" i="1" s="1"/>
  <c r="D26" i="1" l="1"/>
  <c r="E26" i="1" l="1"/>
  <c r="F26" i="1" s="1"/>
  <c r="G26" i="1" s="1"/>
  <c r="C26" i="1"/>
  <c r="B27" i="1" s="1"/>
  <c r="D27" i="1" l="1"/>
  <c r="E27" i="1" l="1"/>
  <c r="F27" i="1" s="1"/>
  <c r="G27" i="1" s="1"/>
  <c r="C27" i="1"/>
  <c r="B28" i="1" s="1"/>
  <c r="D28" i="1" l="1"/>
  <c r="E28" i="1" l="1"/>
  <c r="F28" i="1" s="1"/>
  <c r="G28" i="1" s="1"/>
  <c r="C28" i="1"/>
  <c r="B29" i="1" s="1"/>
  <c r="D29" i="1" l="1"/>
  <c r="C29" i="1" l="1"/>
  <c r="B30" i="1" s="1"/>
  <c r="E29" i="1"/>
  <c r="F29" i="1" s="1"/>
  <c r="G29" i="1" s="1"/>
  <c r="D30" i="1" l="1"/>
  <c r="C30" i="1" l="1"/>
  <c r="B31" i="1" s="1"/>
  <c r="E30" i="1"/>
  <c r="F30" i="1" s="1"/>
  <c r="G30" i="1" s="1"/>
  <c r="D31" i="1" l="1"/>
  <c r="C31" i="1" l="1"/>
  <c r="B32" i="1" s="1"/>
  <c r="E31" i="1"/>
  <c r="F31" i="1" s="1"/>
  <c r="G31" i="1" s="1"/>
  <c r="D32" i="1" l="1"/>
  <c r="C32" i="1" l="1"/>
  <c r="B33" i="1" s="1"/>
  <c r="E32" i="1"/>
  <c r="F32" i="1" s="1"/>
  <c r="G32" i="1" s="1"/>
  <c r="D33" i="1" l="1"/>
  <c r="E33" i="1" l="1"/>
  <c r="F33" i="1" s="1"/>
  <c r="G33" i="1" s="1"/>
  <c r="C33" i="1"/>
  <c r="B34" i="1" s="1"/>
  <c r="D34" i="1" l="1"/>
  <c r="E34" i="1" l="1"/>
  <c r="F34" i="1" s="1"/>
  <c r="G34" i="1" s="1"/>
  <c r="C34" i="1"/>
  <c r="B35" i="1" s="1"/>
  <c r="D35" i="1" l="1"/>
  <c r="E35" i="1" l="1"/>
  <c r="F35" i="1" s="1"/>
  <c r="G35" i="1" s="1"/>
  <c r="C35" i="1"/>
  <c r="B36" i="1" s="1"/>
  <c r="D36" i="1" l="1"/>
  <c r="E36" i="1" l="1"/>
  <c r="F36" i="1" s="1"/>
  <c r="G36" i="1" s="1"/>
  <c r="C36" i="1"/>
  <c r="B37" i="1" s="1"/>
  <c r="D37" i="1" l="1"/>
  <c r="C37" i="1" l="1"/>
  <c r="B38" i="1" s="1"/>
  <c r="E37" i="1"/>
  <c r="F37" i="1" s="1"/>
  <c r="G37" i="1" s="1"/>
  <c r="D38" i="1" l="1"/>
  <c r="C38" i="1" l="1"/>
  <c r="B39" i="1" s="1"/>
  <c r="E38" i="1"/>
  <c r="F38" i="1" s="1"/>
  <c r="G38" i="1" s="1"/>
  <c r="D39" i="1" l="1"/>
  <c r="C39" i="1" l="1"/>
  <c r="B40" i="1" s="1"/>
  <c r="E39" i="1"/>
  <c r="F39" i="1" s="1"/>
  <c r="G39" i="1" s="1"/>
  <c r="D40" i="1" l="1"/>
  <c r="E40" i="1" l="1"/>
  <c r="F40" i="1" s="1"/>
  <c r="G40" i="1" s="1"/>
  <c r="C40" i="1"/>
  <c r="B41" i="1" s="1"/>
  <c r="D41" i="1" l="1"/>
  <c r="E41" i="1" l="1"/>
  <c r="F41" i="1" s="1"/>
  <c r="G41" i="1" s="1"/>
  <c r="C41" i="1"/>
  <c r="B42" i="1" s="1"/>
  <c r="D42" i="1" l="1"/>
  <c r="E42" i="1" l="1"/>
  <c r="F42" i="1" s="1"/>
  <c r="G42" i="1" s="1"/>
  <c r="C42" i="1"/>
  <c r="B43" i="1" s="1"/>
  <c r="D43" i="1" l="1"/>
  <c r="I43" i="1"/>
  <c r="E43" i="1" l="1"/>
  <c r="F43" i="1" s="1"/>
  <c r="G43" i="1" s="1"/>
  <c r="C43" i="1"/>
  <c r="B44" i="1" s="1"/>
  <c r="D44" i="1" l="1"/>
  <c r="C44" i="1" l="1"/>
  <c r="B45" i="1" s="1"/>
  <c r="E44" i="1"/>
  <c r="F44" i="1" s="1"/>
  <c r="G44" i="1" s="1"/>
  <c r="D45" i="1" l="1"/>
  <c r="E45" i="1" l="1"/>
  <c r="F45" i="1" s="1"/>
  <c r="G45" i="1" s="1"/>
  <c r="C45" i="1"/>
  <c r="B46" i="1" s="1"/>
  <c r="D46" i="1" l="1"/>
  <c r="C46" i="1" l="1"/>
  <c r="B47" i="1" s="1"/>
  <c r="E46" i="1"/>
  <c r="F46" i="1" s="1"/>
  <c r="G46" i="1" s="1"/>
  <c r="D47" i="1" l="1"/>
  <c r="E47" i="1" l="1"/>
  <c r="F47" i="1" s="1"/>
  <c r="G47" i="1" s="1"/>
  <c r="C47" i="1"/>
  <c r="B48" i="1" s="1"/>
  <c r="D48" i="1" l="1"/>
  <c r="C48" i="1" l="1"/>
  <c r="B49" i="1" s="1"/>
  <c r="E48" i="1"/>
  <c r="F48" i="1" s="1"/>
  <c r="G48" i="1" s="1"/>
  <c r="D49" i="1" l="1"/>
  <c r="E49" i="1" l="1"/>
  <c r="F49" i="1" s="1"/>
  <c r="G49" i="1" s="1"/>
  <c r="C49" i="1"/>
  <c r="B50" i="1" s="1"/>
  <c r="D50" i="1" l="1"/>
  <c r="C50" i="1" l="1"/>
  <c r="B51" i="1" s="1"/>
  <c r="E50" i="1"/>
  <c r="F50" i="1" s="1"/>
  <c r="G50" i="1" s="1"/>
  <c r="D51" i="1" l="1"/>
  <c r="C51" i="1" l="1"/>
  <c r="B52" i="1" s="1"/>
  <c r="E51" i="1"/>
  <c r="F51" i="1" s="1"/>
  <c r="G51" i="1" s="1"/>
  <c r="D52" i="1" l="1"/>
  <c r="C52" i="1" l="1"/>
  <c r="B53" i="1" s="1"/>
  <c r="E52" i="1"/>
  <c r="F52" i="1" s="1"/>
  <c r="G52" i="1" s="1"/>
  <c r="D53" i="1" l="1"/>
  <c r="C53" i="1" l="1"/>
  <c r="B54" i="1" s="1"/>
  <c r="E53" i="1"/>
  <c r="F53" i="1" s="1"/>
  <c r="G53" i="1" s="1"/>
  <c r="D54" i="1" l="1"/>
  <c r="E54" i="1" l="1"/>
  <c r="F54" i="1" s="1"/>
  <c r="G54" i="1" s="1"/>
  <c r="C54" i="1"/>
  <c r="B55" i="1" s="1"/>
  <c r="D55" i="1" l="1"/>
  <c r="E55" i="1" l="1"/>
  <c r="F55" i="1" s="1"/>
  <c r="G55" i="1" s="1"/>
  <c r="C55" i="1"/>
  <c r="B56" i="1" s="1"/>
  <c r="D56" i="1" l="1"/>
  <c r="E56" i="1" l="1"/>
  <c r="F56" i="1" s="1"/>
  <c r="G56" i="1" s="1"/>
  <c r="C56" i="1"/>
  <c r="B57" i="1" s="1"/>
  <c r="D57" i="1" l="1"/>
  <c r="E57" i="1" l="1"/>
  <c r="F57" i="1" s="1"/>
  <c r="G57" i="1" s="1"/>
  <c r="C57" i="1"/>
  <c r="B58" i="1" s="1"/>
  <c r="D58" i="1" l="1"/>
  <c r="C58" i="1" l="1"/>
  <c r="B59" i="1" s="1"/>
  <c r="E58" i="1"/>
  <c r="F58" i="1" s="1"/>
  <c r="G58" i="1" s="1"/>
  <c r="D59" i="1" l="1"/>
  <c r="C59" i="1" l="1"/>
  <c r="B60" i="1" s="1"/>
  <c r="E59" i="1"/>
  <c r="F59" i="1" s="1"/>
  <c r="G59" i="1" s="1"/>
  <c r="D60" i="1" l="1"/>
  <c r="C60" i="1" l="1"/>
  <c r="B61" i="1" s="1"/>
  <c r="E60" i="1"/>
  <c r="F60" i="1" s="1"/>
  <c r="G60" i="1" s="1"/>
  <c r="D61" i="1" l="1"/>
  <c r="E61" i="1" l="1"/>
  <c r="F61" i="1" s="1"/>
  <c r="G61" i="1" s="1"/>
  <c r="C61" i="1"/>
  <c r="B62" i="1" s="1"/>
  <c r="D62" i="1" l="1"/>
  <c r="E62" i="1" l="1"/>
  <c r="F62" i="1" s="1"/>
  <c r="G62" i="1" s="1"/>
  <c r="C62" i="1"/>
  <c r="B63" i="1" s="1"/>
  <c r="D63" i="1" l="1"/>
  <c r="E63" i="1" l="1"/>
  <c r="F63" i="1" s="1"/>
  <c r="G63" i="1" s="1"/>
  <c r="C63" i="1"/>
  <c r="B64" i="1" s="1"/>
  <c r="D64" i="1" l="1"/>
  <c r="E64" i="1" l="1"/>
  <c r="F64" i="1" s="1"/>
  <c r="G64" i="1" s="1"/>
  <c r="C64" i="1"/>
  <c r="B65" i="1" s="1"/>
  <c r="D65" i="1" l="1"/>
  <c r="E65" i="1" l="1"/>
  <c r="F65" i="1" s="1"/>
  <c r="G65" i="1" s="1"/>
  <c r="C65" i="1"/>
  <c r="B66" i="1" s="1"/>
  <c r="D66" i="1" l="1"/>
  <c r="C66" i="1" l="1"/>
  <c r="B67" i="1" s="1"/>
  <c r="E66" i="1"/>
  <c r="F66" i="1" s="1"/>
  <c r="G66" i="1" s="1"/>
  <c r="D67" i="1" l="1"/>
  <c r="C67" i="1" l="1"/>
  <c r="B68" i="1" s="1"/>
  <c r="E67" i="1"/>
  <c r="F67" i="1" s="1"/>
  <c r="G67" i="1" s="1"/>
  <c r="D68" i="1" l="1"/>
  <c r="C68" i="1" l="1"/>
  <c r="B69" i="1" s="1"/>
  <c r="E68" i="1"/>
  <c r="F68" i="1" s="1"/>
  <c r="G68" i="1" s="1"/>
  <c r="D69" i="1" l="1"/>
  <c r="C69" i="1" l="1"/>
  <c r="B70" i="1" s="1"/>
  <c r="E69" i="1"/>
  <c r="F69" i="1" s="1"/>
  <c r="G69" i="1" s="1"/>
  <c r="D70" i="1" l="1"/>
  <c r="E70" i="1" l="1"/>
  <c r="F70" i="1" s="1"/>
  <c r="G70" i="1" s="1"/>
  <c r="C70" i="1"/>
  <c r="B71" i="1" s="1"/>
  <c r="D71" i="1" l="1"/>
  <c r="E71" i="1" l="1"/>
  <c r="F71" i="1" s="1"/>
  <c r="G71" i="1" s="1"/>
  <c r="C71" i="1"/>
  <c r="B72" i="1" s="1"/>
  <c r="D72" i="1" l="1"/>
  <c r="E72" i="1" l="1"/>
  <c r="F72" i="1" s="1"/>
  <c r="G72" i="1" s="1"/>
  <c r="C72" i="1"/>
  <c r="B73" i="1" s="1"/>
  <c r="I73" i="1" l="1"/>
  <c r="D73" i="1"/>
  <c r="E73" i="1" l="1"/>
  <c r="F73" i="1" s="1"/>
  <c r="G73" i="1" s="1"/>
  <c r="C73" i="1"/>
  <c r="B74" i="1" s="1"/>
  <c r="D74" i="1" l="1"/>
  <c r="E74" i="1" l="1"/>
  <c r="F74" i="1" s="1"/>
  <c r="G74" i="1" s="1"/>
  <c r="C74" i="1"/>
  <c r="B75" i="1" s="1"/>
  <c r="D75" i="1" l="1"/>
  <c r="C75" i="1" l="1"/>
  <c r="B76" i="1" s="1"/>
  <c r="E75" i="1"/>
  <c r="F75" i="1" s="1"/>
  <c r="G75" i="1" s="1"/>
  <c r="D76" i="1" l="1"/>
  <c r="E76" i="1" l="1"/>
  <c r="F76" i="1" s="1"/>
  <c r="G76" i="1" s="1"/>
  <c r="C76" i="1"/>
  <c r="B77" i="1" s="1"/>
  <c r="D77" i="1" l="1"/>
  <c r="C77" i="1" l="1"/>
  <c r="B78" i="1" s="1"/>
  <c r="E77" i="1"/>
  <c r="F77" i="1" s="1"/>
  <c r="G77" i="1" s="1"/>
  <c r="D78" i="1" l="1"/>
  <c r="E78" i="1" l="1"/>
  <c r="F78" i="1" s="1"/>
  <c r="G78" i="1" s="1"/>
  <c r="C78" i="1"/>
  <c r="B79" i="1" s="1"/>
  <c r="D79" i="1" l="1"/>
  <c r="C79" i="1" l="1"/>
  <c r="B80" i="1" s="1"/>
  <c r="E79" i="1"/>
  <c r="F79" i="1" s="1"/>
  <c r="G79" i="1" s="1"/>
  <c r="D80" i="1" l="1"/>
  <c r="E80" i="1" l="1"/>
  <c r="F80" i="1" s="1"/>
  <c r="G80" i="1" s="1"/>
  <c r="C80" i="1"/>
  <c r="B81" i="1" s="1"/>
  <c r="D81" i="1" l="1"/>
  <c r="C81" i="1" l="1"/>
  <c r="B82" i="1" s="1"/>
  <c r="E81" i="1"/>
  <c r="F81" i="1" s="1"/>
  <c r="G81" i="1" s="1"/>
  <c r="D82" i="1" l="1"/>
  <c r="E82" i="1" l="1"/>
  <c r="F82" i="1" s="1"/>
  <c r="G82" i="1" s="1"/>
  <c r="C82" i="1"/>
  <c r="B83" i="1" s="1"/>
  <c r="D83" i="1" l="1"/>
  <c r="C83" i="1" l="1"/>
  <c r="B84" i="1" s="1"/>
  <c r="E83" i="1"/>
  <c r="F83" i="1" s="1"/>
  <c r="G83" i="1" s="1"/>
  <c r="D84" i="1" l="1"/>
  <c r="E84" i="1" l="1"/>
  <c r="F84" i="1" s="1"/>
  <c r="G84" i="1" s="1"/>
  <c r="C84" i="1"/>
  <c r="B85" i="1" s="1"/>
  <c r="D85" i="1" l="1"/>
  <c r="C85" i="1" l="1"/>
  <c r="B86" i="1" s="1"/>
  <c r="E85" i="1"/>
  <c r="F85" i="1" s="1"/>
  <c r="G85" i="1" s="1"/>
  <c r="D86" i="1" l="1"/>
  <c r="E86" i="1" l="1"/>
  <c r="F86" i="1" s="1"/>
  <c r="G86" i="1" s="1"/>
  <c r="C86" i="1"/>
  <c r="B87" i="1" s="1"/>
  <c r="D87" i="1" l="1"/>
  <c r="C87" i="1" l="1"/>
  <c r="B88" i="1" s="1"/>
  <c r="E87" i="1"/>
  <c r="F87" i="1" s="1"/>
  <c r="G87" i="1" s="1"/>
  <c r="D88" i="1" l="1"/>
  <c r="E88" i="1" l="1"/>
  <c r="F88" i="1" s="1"/>
  <c r="G88" i="1" s="1"/>
  <c r="C88" i="1"/>
  <c r="B89" i="1" s="1"/>
  <c r="D89" i="1" l="1"/>
  <c r="C89" i="1" l="1"/>
  <c r="B90" i="1" s="1"/>
  <c r="E89" i="1"/>
  <c r="F89" i="1" s="1"/>
  <c r="G89" i="1" s="1"/>
  <c r="D90" i="1" l="1"/>
  <c r="E90" i="1" l="1"/>
  <c r="F90" i="1" s="1"/>
  <c r="G90" i="1" s="1"/>
  <c r="C90" i="1"/>
  <c r="B91" i="1" s="1"/>
  <c r="D91" i="1" l="1"/>
  <c r="C91" i="1" l="1"/>
  <c r="B92" i="1" s="1"/>
  <c r="E91" i="1"/>
  <c r="F91" i="1" s="1"/>
  <c r="G91" i="1" s="1"/>
  <c r="D92" i="1" l="1"/>
  <c r="E92" i="1" l="1"/>
  <c r="F92" i="1" s="1"/>
  <c r="G92" i="1" s="1"/>
  <c r="C92" i="1"/>
  <c r="B93" i="1" s="1"/>
  <c r="D93" i="1" l="1"/>
  <c r="C93" i="1" l="1"/>
  <c r="B94" i="1" s="1"/>
  <c r="E93" i="1"/>
  <c r="F93" i="1" s="1"/>
  <c r="G93" i="1" s="1"/>
  <c r="D94" i="1" l="1"/>
  <c r="E94" i="1" l="1"/>
  <c r="F94" i="1" s="1"/>
  <c r="G94" i="1" s="1"/>
  <c r="C94" i="1"/>
  <c r="B95" i="1" s="1"/>
  <c r="D95" i="1" l="1"/>
  <c r="C95" i="1" l="1"/>
  <c r="B96" i="1" s="1"/>
  <c r="E95" i="1"/>
  <c r="F95" i="1" s="1"/>
  <c r="G95" i="1" s="1"/>
  <c r="D96" i="1" l="1"/>
  <c r="E96" i="1" l="1"/>
  <c r="F96" i="1" s="1"/>
  <c r="G96" i="1" s="1"/>
  <c r="C96" i="1"/>
  <c r="B97" i="1" s="1"/>
  <c r="D97" i="1" l="1"/>
  <c r="C97" i="1" l="1"/>
  <c r="B98" i="1" s="1"/>
  <c r="E97" i="1"/>
  <c r="F97" i="1" s="1"/>
  <c r="G97" i="1" s="1"/>
  <c r="D98" i="1" l="1"/>
  <c r="E98" i="1" l="1"/>
  <c r="F98" i="1" s="1"/>
  <c r="G98" i="1" s="1"/>
  <c r="C98" i="1"/>
  <c r="B99" i="1" s="1"/>
  <c r="D99" i="1" l="1"/>
  <c r="C99" i="1" l="1"/>
  <c r="B100" i="1" s="1"/>
  <c r="E99" i="1"/>
  <c r="F99" i="1" s="1"/>
  <c r="G99" i="1" s="1"/>
  <c r="D100" i="1" l="1"/>
  <c r="E100" i="1" l="1"/>
  <c r="F100" i="1" s="1"/>
  <c r="G100" i="1" s="1"/>
  <c r="C100" i="1"/>
  <c r="B101" i="1" s="1"/>
  <c r="D101" i="1" l="1"/>
  <c r="C101" i="1" l="1"/>
  <c r="B102" i="1" s="1"/>
  <c r="E101" i="1"/>
  <c r="F101" i="1" s="1"/>
  <c r="G101" i="1" s="1"/>
  <c r="D102" i="1" l="1"/>
  <c r="E102" i="1" l="1"/>
  <c r="F102" i="1" s="1"/>
  <c r="G102" i="1" s="1"/>
  <c r="C102" i="1"/>
  <c r="B103" i="1" s="1"/>
  <c r="D103" i="1" l="1"/>
  <c r="C103" i="1" l="1"/>
  <c r="B104" i="1" s="1"/>
  <c r="E103" i="1"/>
  <c r="F103" i="1" s="1"/>
  <c r="G103" i="1" s="1"/>
  <c r="D104" i="1" l="1"/>
  <c r="C104" i="1" l="1"/>
  <c r="B105" i="1" s="1"/>
  <c r="E104" i="1"/>
  <c r="F104" i="1" s="1"/>
  <c r="G104" i="1" s="1"/>
  <c r="D105" i="1" l="1"/>
  <c r="C105" i="1" l="1"/>
  <c r="B106" i="1" s="1"/>
  <c r="E105" i="1"/>
  <c r="F105" i="1" s="1"/>
  <c r="G105" i="1" s="1"/>
  <c r="D106" i="1" l="1"/>
  <c r="C106" i="1" l="1"/>
  <c r="B107" i="1" s="1"/>
  <c r="E106" i="1"/>
  <c r="F106" i="1" s="1"/>
  <c r="G106" i="1" s="1"/>
  <c r="D107" i="1" l="1"/>
  <c r="E107" i="1" l="1"/>
  <c r="F107" i="1" s="1"/>
  <c r="G107" i="1" s="1"/>
  <c r="C107" i="1"/>
  <c r="B108" i="1" s="1"/>
  <c r="I108" i="1" l="1"/>
  <c r="D108" i="1"/>
  <c r="E108" i="1" l="1"/>
  <c r="F108" i="1" s="1"/>
  <c r="G108" i="1" s="1"/>
  <c r="C108" i="1"/>
  <c r="B109" i="1" s="1"/>
  <c r="D109" i="1" l="1"/>
  <c r="E109" i="1" l="1"/>
  <c r="F109" i="1" s="1"/>
  <c r="G109" i="1" s="1"/>
  <c r="C109" i="1"/>
  <c r="B110" i="1" s="1"/>
  <c r="D110" i="1" l="1"/>
  <c r="C110" i="1" l="1"/>
  <c r="B111" i="1" s="1"/>
  <c r="E110" i="1"/>
  <c r="F110" i="1" s="1"/>
  <c r="G110" i="1" s="1"/>
  <c r="D111" i="1" l="1"/>
  <c r="E111" i="1" l="1"/>
  <c r="F111" i="1" s="1"/>
  <c r="G111" i="1" s="1"/>
  <c r="C111" i="1"/>
  <c r="B112" i="1" s="1"/>
  <c r="D112" i="1" l="1"/>
  <c r="C112" i="1" l="1"/>
  <c r="B113" i="1" s="1"/>
  <c r="E112" i="1"/>
  <c r="F112" i="1" s="1"/>
  <c r="G112" i="1" s="1"/>
  <c r="D113" i="1" l="1"/>
  <c r="E113" i="1" l="1"/>
  <c r="F113" i="1" s="1"/>
  <c r="G113" i="1" s="1"/>
  <c r="C113" i="1"/>
  <c r="B114" i="1" s="1"/>
  <c r="D114" i="1" l="1"/>
  <c r="C114" i="1" l="1"/>
  <c r="B115" i="1" s="1"/>
  <c r="E114" i="1"/>
  <c r="F114" i="1" s="1"/>
  <c r="G114" i="1" s="1"/>
  <c r="D115" i="1" l="1"/>
  <c r="E115" i="1" l="1"/>
  <c r="F115" i="1" s="1"/>
  <c r="G115" i="1" s="1"/>
  <c r="C115" i="1"/>
  <c r="B116" i="1" s="1"/>
  <c r="D116" i="1" l="1"/>
  <c r="C116" i="1" l="1"/>
  <c r="B117" i="1" s="1"/>
  <c r="E116" i="1"/>
  <c r="F116" i="1" s="1"/>
  <c r="G116" i="1" s="1"/>
  <c r="D117" i="1" l="1"/>
  <c r="E117" i="1" l="1"/>
  <c r="F117" i="1" s="1"/>
  <c r="G117" i="1" s="1"/>
  <c r="C117" i="1"/>
  <c r="B118" i="1" s="1"/>
  <c r="D118" i="1" l="1"/>
  <c r="C118" i="1" l="1"/>
  <c r="B119" i="1" s="1"/>
  <c r="E118" i="1"/>
  <c r="F118" i="1" s="1"/>
  <c r="G118" i="1" s="1"/>
  <c r="D119" i="1" l="1"/>
  <c r="E119" i="1" l="1"/>
  <c r="F119" i="1" s="1"/>
  <c r="G119" i="1" s="1"/>
  <c r="C119" i="1"/>
  <c r="B120" i="1" s="1"/>
  <c r="D120" i="1" l="1"/>
  <c r="C120" i="1" l="1"/>
  <c r="B121" i="1" s="1"/>
  <c r="E120" i="1"/>
  <c r="F120" i="1" s="1"/>
  <c r="G120" i="1" s="1"/>
  <c r="D121" i="1" l="1"/>
  <c r="E121" i="1" l="1"/>
  <c r="F121" i="1" s="1"/>
  <c r="G121" i="1" s="1"/>
  <c r="C121" i="1"/>
  <c r="B122" i="1" s="1"/>
  <c r="D122" i="1" l="1"/>
  <c r="C122" i="1" l="1"/>
  <c r="B123" i="1" s="1"/>
  <c r="E122" i="1"/>
  <c r="F122" i="1" s="1"/>
  <c r="G122" i="1" s="1"/>
  <c r="D123" i="1" l="1"/>
  <c r="E123" i="1" l="1"/>
  <c r="F123" i="1" s="1"/>
  <c r="G123" i="1" s="1"/>
  <c r="C123" i="1"/>
  <c r="B124" i="1" s="1"/>
  <c r="D124" i="1" l="1"/>
  <c r="C124" i="1" l="1"/>
  <c r="B125" i="1" s="1"/>
  <c r="E124" i="1"/>
  <c r="F124" i="1" s="1"/>
  <c r="G124" i="1" s="1"/>
  <c r="D125" i="1" l="1"/>
  <c r="E125" i="1" l="1"/>
  <c r="F125" i="1" s="1"/>
  <c r="G125" i="1" s="1"/>
  <c r="C125" i="1"/>
  <c r="B126" i="1" s="1"/>
  <c r="D126" i="1" l="1"/>
  <c r="C126" i="1" l="1"/>
  <c r="B127" i="1" s="1"/>
  <c r="E126" i="1"/>
  <c r="F126" i="1" s="1"/>
  <c r="G126" i="1" s="1"/>
  <c r="D127" i="1" l="1"/>
  <c r="E127" i="1" l="1"/>
  <c r="F127" i="1" s="1"/>
  <c r="G127" i="1" s="1"/>
  <c r="C127" i="1"/>
  <c r="B128" i="1" s="1"/>
  <c r="D128" i="1" l="1"/>
  <c r="C128" i="1" l="1"/>
  <c r="B129" i="1" s="1"/>
  <c r="E128" i="1"/>
  <c r="F128" i="1" s="1"/>
  <c r="G128" i="1" s="1"/>
  <c r="D129" i="1" l="1"/>
  <c r="E129" i="1" l="1"/>
  <c r="F129" i="1" s="1"/>
  <c r="G129" i="1" s="1"/>
  <c r="C129" i="1"/>
  <c r="B130" i="1" s="1"/>
  <c r="D130" i="1" l="1"/>
  <c r="C130" i="1" l="1"/>
  <c r="B131" i="1" s="1"/>
  <c r="E130" i="1"/>
  <c r="F130" i="1" s="1"/>
  <c r="G130" i="1" s="1"/>
  <c r="D131" i="1" l="1"/>
  <c r="E131" i="1" l="1"/>
  <c r="F131" i="1" s="1"/>
  <c r="G131" i="1" s="1"/>
  <c r="C131" i="1"/>
  <c r="B132" i="1" s="1"/>
  <c r="D132" i="1" l="1"/>
  <c r="C132" i="1" l="1"/>
  <c r="B133" i="1" s="1"/>
  <c r="E132" i="1"/>
  <c r="F132" i="1" s="1"/>
  <c r="G132" i="1" s="1"/>
  <c r="D133" i="1" l="1"/>
  <c r="E133" i="1" l="1"/>
  <c r="F133" i="1" s="1"/>
  <c r="G133" i="1" s="1"/>
  <c r="C133" i="1"/>
  <c r="B134" i="1" s="1"/>
  <c r="D134" i="1" l="1"/>
  <c r="C134" i="1" l="1"/>
  <c r="B135" i="1" s="1"/>
  <c r="E134" i="1"/>
  <c r="F134" i="1" s="1"/>
  <c r="G134" i="1" s="1"/>
  <c r="D135" i="1" l="1"/>
  <c r="E135" i="1" l="1"/>
  <c r="F135" i="1" s="1"/>
  <c r="G135" i="1" s="1"/>
  <c r="C135" i="1"/>
  <c r="B136" i="1" s="1"/>
  <c r="D136" i="1" l="1"/>
  <c r="C136" i="1" l="1"/>
  <c r="B137" i="1" s="1"/>
  <c r="E136" i="1"/>
  <c r="F136" i="1" s="1"/>
  <c r="G136" i="1" s="1"/>
  <c r="D137" i="1" l="1"/>
  <c r="E137" i="1" l="1"/>
  <c r="F137" i="1" s="1"/>
  <c r="G137" i="1" s="1"/>
  <c r="C137" i="1"/>
  <c r="B138" i="1" s="1"/>
  <c r="D138" i="1" l="1"/>
  <c r="C138" i="1" l="1"/>
  <c r="B139" i="1" s="1"/>
  <c r="E138" i="1"/>
  <c r="F138" i="1" s="1"/>
  <c r="G138" i="1" s="1"/>
  <c r="D139" i="1" l="1"/>
  <c r="E139" i="1" l="1"/>
  <c r="F139" i="1" s="1"/>
  <c r="G139" i="1" s="1"/>
  <c r="C139" i="1"/>
  <c r="B140" i="1" s="1"/>
  <c r="D140" i="1" l="1"/>
  <c r="C140" i="1" l="1"/>
  <c r="B141" i="1" s="1"/>
  <c r="E140" i="1"/>
  <c r="F140" i="1" s="1"/>
  <c r="G140" i="1" s="1"/>
  <c r="D141" i="1" l="1"/>
  <c r="C141" i="1" l="1"/>
  <c r="B142" i="1" s="1"/>
  <c r="E141" i="1"/>
  <c r="F141" i="1" s="1"/>
  <c r="G141" i="1" s="1"/>
  <c r="D142" i="1" l="1"/>
  <c r="E142" i="1" l="1"/>
  <c r="F142" i="1" s="1"/>
  <c r="G142" i="1" s="1"/>
  <c r="C142" i="1"/>
  <c r="B143" i="1" s="1"/>
  <c r="D143" i="1" l="1"/>
  <c r="C143" i="1" l="1"/>
  <c r="B144" i="1" s="1"/>
  <c r="E143" i="1"/>
  <c r="F143" i="1" s="1"/>
  <c r="G143" i="1" s="1"/>
  <c r="D144" i="1" l="1"/>
  <c r="E144" i="1" l="1"/>
  <c r="F144" i="1" s="1"/>
  <c r="G144" i="1" s="1"/>
  <c r="C144" i="1"/>
  <c r="B145" i="1" s="1"/>
  <c r="D145" i="1" l="1"/>
  <c r="C145" i="1" l="1"/>
  <c r="B146" i="1" s="1"/>
  <c r="E145" i="1"/>
  <c r="F145" i="1" s="1"/>
  <c r="G145" i="1" s="1"/>
  <c r="D146" i="1" l="1"/>
  <c r="E146" i="1" l="1"/>
  <c r="F146" i="1" s="1"/>
  <c r="G146" i="1" s="1"/>
  <c r="C146" i="1"/>
  <c r="B147" i="1" s="1"/>
  <c r="D147" i="1" l="1"/>
  <c r="C147" i="1" l="1"/>
  <c r="B148" i="1" s="1"/>
  <c r="E147" i="1"/>
  <c r="F147" i="1" s="1"/>
  <c r="G147" i="1" s="1"/>
  <c r="D148" i="1" l="1"/>
  <c r="E148" i="1" l="1"/>
  <c r="F148" i="1" s="1"/>
  <c r="G148" i="1" s="1"/>
  <c r="C148" i="1"/>
  <c r="B149" i="1" s="1"/>
  <c r="D149" i="1" l="1"/>
  <c r="C149" i="1" l="1"/>
  <c r="B150" i="1" s="1"/>
  <c r="E149" i="1"/>
  <c r="F149" i="1" s="1"/>
  <c r="G149" i="1" s="1"/>
  <c r="D150" i="1" l="1"/>
  <c r="E150" i="1" l="1"/>
  <c r="F150" i="1" s="1"/>
  <c r="G150" i="1" s="1"/>
  <c r="C150" i="1"/>
  <c r="B151" i="1" s="1"/>
  <c r="D151" i="1" l="1"/>
  <c r="C151" i="1" l="1"/>
  <c r="B152" i="1" s="1"/>
  <c r="E151" i="1"/>
  <c r="F151" i="1" s="1"/>
  <c r="G151" i="1" s="1"/>
  <c r="D152" i="1" l="1"/>
  <c r="E152" i="1" l="1"/>
  <c r="F152" i="1" s="1"/>
  <c r="G152" i="1" s="1"/>
  <c r="C152" i="1"/>
  <c r="B153" i="1" s="1"/>
  <c r="D153" i="1" l="1"/>
  <c r="C153" i="1" l="1"/>
  <c r="B154" i="1" s="1"/>
  <c r="E153" i="1"/>
  <c r="F153" i="1" s="1"/>
  <c r="G153" i="1" s="1"/>
  <c r="D154" i="1" l="1"/>
  <c r="E154" i="1" l="1"/>
  <c r="F154" i="1" s="1"/>
  <c r="G154" i="1" s="1"/>
  <c r="C154" i="1"/>
  <c r="B155" i="1" s="1"/>
  <c r="D155" i="1" l="1"/>
  <c r="C155" i="1" l="1"/>
  <c r="B156" i="1" s="1"/>
  <c r="E155" i="1"/>
  <c r="F155" i="1" s="1"/>
  <c r="G155" i="1" s="1"/>
  <c r="D156" i="1" l="1"/>
  <c r="E156" i="1" l="1"/>
  <c r="F156" i="1" s="1"/>
  <c r="G156" i="1" s="1"/>
  <c r="C156" i="1"/>
  <c r="B157" i="1" s="1"/>
  <c r="D157" i="1" l="1"/>
  <c r="C157" i="1" l="1"/>
  <c r="B158" i="1" s="1"/>
  <c r="E157" i="1"/>
  <c r="F157" i="1" s="1"/>
  <c r="G157" i="1" s="1"/>
  <c r="D158" i="1" l="1"/>
  <c r="E158" i="1" l="1"/>
  <c r="F158" i="1" s="1"/>
  <c r="G158" i="1" s="1"/>
  <c r="C158" i="1"/>
  <c r="B159" i="1" s="1"/>
  <c r="D159" i="1" l="1"/>
  <c r="C159" i="1" l="1"/>
  <c r="B160" i="1" s="1"/>
  <c r="E159" i="1"/>
  <c r="F159" i="1" s="1"/>
  <c r="G159" i="1" s="1"/>
  <c r="K160" i="1" l="1"/>
  <c r="D160" i="1"/>
  <c r="E160" i="1" l="1"/>
  <c r="F160" i="1" s="1"/>
  <c r="G160" i="1" s="1"/>
  <c r="C160" i="1"/>
</calcChain>
</file>

<file path=xl/sharedStrings.xml><?xml version="1.0" encoding="utf-8"?>
<sst xmlns="http://schemas.openxmlformats.org/spreadsheetml/2006/main" count="4" uniqueCount="4">
  <si>
    <t>no</t>
  </si>
  <si>
    <t>MODAL</t>
  </si>
  <si>
    <t>kompensasi</t>
  </si>
  <si>
    <t>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</si>
</sst>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* #,##0.0_-;\-* #,##0.0_-;_-* &quot;-&quot;_-;_-@_-"/>
    <numFmt numFmtId="165" formatCode="0.0%"/>
    <numFmt numFmtId="166" formatCode="_-* #,##0.00_-;\-* #,##0.00_-;_-* &quot;-&quot;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charset val="134"/>
      <scheme val="minor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1" xfId="0" applyBorder="1" applyAlignment="1">
      <alignment horizontal="center"/>
    </xf>
    <xf numFmtId="164" fontId="0" fillId="2" borderId="2" xfId="2" applyNumberFormat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41" fontId="0" fillId="2" borderId="2" xfId="2" applyFont="1" applyFill="1" applyBorder="1"/>
    <xf numFmtId="41" fontId="0" fillId="2" borderId="2" xfId="2" quotePrefix="1" applyFont="1" applyFill="1" applyBorder="1"/>
    <xf numFmtId="0" fontId="0" fillId="2" borderId="3" xfId="0" applyFill="1" applyBorder="1" applyAlignment="1">
      <alignment horizontal="center" vertical="center"/>
    </xf>
    <xf numFmtId="164" fontId="0" fillId="3" borderId="2" xfId="2" applyNumberFormat="1" applyFon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 vertical="center"/>
    </xf>
    <xf numFmtId="10" fontId="0" fillId="3" borderId="2" xfId="3" applyNumberFormat="1" applyFont="1" applyFill="1" applyBorder="1" applyAlignment="1">
      <alignment horizontal="center" vertical="center"/>
    </xf>
    <xf numFmtId="0" fontId="0" fillId="3" borderId="2" xfId="0" applyFill="1" applyBorder="1"/>
    <xf numFmtId="0" fontId="0" fillId="2" borderId="4" xfId="0" applyFill="1" applyBorder="1" applyAlignment="1">
      <alignment horizontal="center" vertical="center"/>
    </xf>
    <xf numFmtId="0" fontId="0" fillId="2" borderId="0" xfId="0" applyFill="1"/>
    <xf numFmtId="164" fontId="2" fillId="4" borderId="2" xfId="2" applyNumberFormat="1" applyFont="1" applyFill="1" applyBorder="1"/>
    <xf numFmtId="166" fontId="2" fillId="4" borderId="2" xfId="2" applyNumberFormat="1" applyFont="1" applyFill="1" applyBorder="1"/>
    <xf numFmtId="43" fontId="0" fillId="4" borderId="2" xfId="0" applyNumberFormat="1" applyFill="1" applyBorder="1"/>
    <xf numFmtId="43" fontId="0" fillId="2" borderId="2" xfId="0" applyNumberFormat="1" applyFill="1" applyBorder="1"/>
    <xf numFmtId="43" fontId="0" fillId="0" borderId="0" xfId="0" applyNumberFormat="1"/>
    <xf numFmtId="164" fontId="2" fillId="2" borderId="2" xfId="2" applyNumberFormat="1" applyFont="1" applyFill="1" applyBorder="1"/>
    <xf numFmtId="166" fontId="2" fillId="2" borderId="2" xfId="2" applyNumberFormat="1" applyFont="1" applyFill="1" applyBorder="1"/>
    <xf numFmtId="0" fontId="3" fillId="0" borderId="2" xfId="0" applyFont="1" applyBorder="1"/>
    <xf numFmtId="164" fontId="2" fillId="5" borderId="2" xfId="2" applyNumberFormat="1" applyFont="1" applyFill="1" applyBorder="1"/>
    <xf numFmtId="166" fontId="2" fillId="5" borderId="2" xfId="2" applyNumberFormat="1" applyFont="1" applyFill="1" applyBorder="1"/>
    <xf numFmtId="43" fontId="0" fillId="5" borderId="2" xfId="0" applyNumberFormat="1" applyFill="1" applyBorder="1"/>
    <xf numFmtId="0" fontId="0" fillId="5" borderId="2" xfId="0" applyFill="1" applyBorder="1"/>
    <xf numFmtId="164" fontId="2" fillId="6" borderId="2" xfId="2" applyNumberFormat="1" applyFont="1" applyFill="1" applyBorder="1"/>
    <xf numFmtId="166" fontId="2" fillId="6" borderId="2" xfId="2" applyNumberFormat="1" applyFont="1" applyFill="1" applyBorder="1"/>
    <xf numFmtId="43" fontId="0" fillId="6" borderId="2" xfId="0" applyNumberFormat="1" applyFill="1" applyBorder="1"/>
    <xf numFmtId="0" fontId="0" fillId="6" borderId="2" xfId="0" applyFill="1" applyBorder="1"/>
    <xf numFmtId="43" fontId="0" fillId="2" borderId="0" xfId="0" applyNumberFormat="1" applyFill="1"/>
    <xf numFmtId="164" fontId="2" fillId="7" borderId="2" xfId="2" applyNumberFormat="1" applyFont="1" applyFill="1" applyBorder="1"/>
    <xf numFmtId="166" fontId="2" fillId="7" borderId="2" xfId="2" applyNumberFormat="1" applyFont="1" applyFill="1" applyBorder="1"/>
    <xf numFmtId="43" fontId="0" fillId="7" borderId="2" xfId="0" applyNumberFormat="1" applyFill="1" applyBorder="1"/>
    <xf numFmtId="0" fontId="0" fillId="7" borderId="2" xfId="0" applyFill="1" applyBorder="1"/>
    <xf numFmtId="164" fontId="2" fillId="8" borderId="2" xfId="2" applyNumberFormat="1" applyFont="1" applyFill="1" applyBorder="1"/>
    <xf numFmtId="166" fontId="2" fillId="8" borderId="2" xfId="2" applyNumberFormat="1" applyFont="1" applyFill="1" applyBorder="1"/>
    <xf numFmtId="43" fontId="0" fillId="8" borderId="2" xfId="0" applyNumberFormat="1" applyFill="1" applyBorder="1"/>
    <xf numFmtId="0" fontId="0" fillId="8" borderId="2" xfId="0" applyFill="1" applyBorder="1"/>
    <xf numFmtId="0" fontId="0" fillId="7" borderId="0" xfId="0" applyFill="1"/>
    <xf numFmtId="43" fontId="0" fillId="0" borderId="0" xfId="1" applyFont="1"/>
    <xf numFmtId="164" fontId="0" fillId="2" borderId="0" xfId="0" applyNumberFormat="1" applyFill="1"/>
  </cellXfs>
  <cellStyles count="4">
    <cellStyle name="Comma" xfId="1" builtinId="3"/>
    <cellStyle name="Comma [0]" xfId="2" builtinId="6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5E45-B546-49BF-83EB-6FA64C5CA052}">
  <dimension ref="A1:K160"/>
  <sheetViews>
    <sheetView tabSelected="1" workbookViewId="0">
      <selection activeCell="M11" sqref="M11"/>
    </sheetView>
  </sheetViews>
  <sheetFormatPr defaultRowHeight="14.5"/>
  <cols>
    <col min="1" max="1" width="5.08984375" customWidth="1"/>
    <col min="2" max="2" width="13" customWidth="1"/>
    <col min="6" max="6" width="19.1796875" customWidth="1"/>
    <col min="7" max="7" width="18.453125" customWidth="1"/>
  </cols>
  <sheetData>
    <row r="1" spans="1:11">
      <c r="A1" s="1" t="s">
        <v>0</v>
      </c>
      <c r="B1" s="2" t="s">
        <v>1</v>
      </c>
      <c r="C1" s="2"/>
      <c r="D1" s="3" t="s">
        <v>2</v>
      </c>
      <c r="E1" s="3"/>
      <c r="F1" s="3"/>
      <c r="G1" s="3"/>
      <c r="H1" s="4"/>
    </row>
    <row r="2" spans="1:11">
      <c r="A2" s="1"/>
      <c r="B2" s="2"/>
      <c r="C2" s="2"/>
      <c r="D2" s="5">
        <v>9</v>
      </c>
      <c r="E2" s="6">
        <v>10</v>
      </c>
      <c r="F2" s="5">
        <v>11</v>
      </c>
      <c r="G2" s="5">
        <v>12</v>
      </c>
      <c r="H2" s="7" t="s">
        <v>3</v>
      </c>
    </row>
    <row r="3" spans="1:11">
      <c r="B3" s="8"/>
      <c r="C3" s="9">
        <v>0.8</v>
      </c>
      <c r="D3" s="10">
        <v>5.3499999999999999E-2</v>
      </c>
      <c r="E3" s="11">
        <v>2.2000000000000002</v>
      </c>
      <c r="F3" s="11">
        <v>2.2000000000000002</v>
      </c>
      <c r="G3" s="11">
        <f>F3</f>
        <v>2.2000000000000002</v>
      </c>
      <c r="H3" s="12"/>
    </row>
    <row r="4" spans="1:11">
      <c r="A4" s="13">
        <v>1</v>
      </c>
      <c r="B4" s="14">
        <v>19</v>
      </c>
      <c r="C4" s="14">
        <f>D4*C$3</f>
        <v>0.81320000000000003</v>
      </c>
      <c r="D4" s="15">
        <f>B4*D$3</f>
        <v>1.0165</v>
      </c>
      <c r="E4" s="16">
        <f>D4*E$3</f>
        <v>2.2363</v>
      </c>
      <c r="F4" s="16">
        <f>E4*F$3</f>
        <v>4.9198599999999999</v>
      </c>
      <c r="G4" s="16">
        <f>F4*G$3</f>
        <v>10.823692000000001</v>
      </c>
      <c r="H4" s="4"/>
    </row>
    <row r="5" spans="1:11">
      <c r="A5" s="13">
        <v>2</v>
      </c>
      <c r="B5" s="14">
        <f>B4+C4</f>
        <v>19.813199999999998</v>
      </c>
      <c r="C5" s="14">
        <f t="shared" ref="C5:C68" si="0">D5*C$3</f>
        <v>0.84800495999999992</v>
      </c>
      <c r="D5" s="15">
        <f t="shared" ref="D5:D68" si="1">B5*D$3</f>
        <v>1.0600061999999999</v>
      </c>
      <c r="E5" s="16">
        <f t="shared" ref="E5:G20" si="2">D5*E$3</f>
        <v>2.33201364</v>
      </c>
      <c r="F5" s="16">
        <f t="shared" si="2"/>
        <v>5.1304300080000003</v>
      </c>
      <c r="G5" s="16">
        <f t="shared" si="2"/>
        <v>11.286946017600002</v>
      </c>
      <c r="H5" s="4"/>
    </row>
    <row r="6" spans="1:11">
      <c r="A6" s="13">
        <v>3</v>
      </c>
      <c r="B6" s="14">
        <f>B5+C5</f>
        <v>20.661204959999999</v>
      </c>
      <c r="C6" s="14">
        <f t="shared" si="0"/>
        <v>0.88429957228800005</v>
      </c>
      <c r="D6" s="15">
        <f t="shared" si="1"/>
        <v>1.1053744653599999</v>
      </c>
      <c r="E6" s="16">
        <f t="shared" si="2"/>
        <v>2.431823823792</v>
      </c>
      <c r="F6" s="16">
        <f t="shared" si="2"/>
        <v>5.3500124123424007</v>
      </c>
      <c r="G6" s="16">
        <f t="shared" si="2"/>
        <v>11.770027307153283</v>
      </c>
      <c r="H6" s="4"/>
    </row>
    <row r="7" spans="1:11">
      <c r="A7" s="13">
        <v>4</v>
      </c>
      <c r="B7" s="14">
        <f>B6+C6</f>
        <v>21.545504532288</v>
      </c>
      <c r="C7" s="14">
        <f t="shared" si="0"/>
        <v>0.92214759398192647</v>
      </c>
      <c r="D7" s="15">
        <f t="shared" si="1"/>
        <v>1.152684492477408</v>
      </c>
      <c r="E7" s="16">
        <f t="shared" si="2"/>
        <v>2.5359058834502979</v>
      </c>
      <c r="F7" s="16">
        <f t="shared" si="2"/>
        <v>5.5789929435906558</v>
      </c>
      <c r="G7" s="16">
        <f t="shared" si="2"/>
        <v>12.273784475899443</v>
      </c>
      <c r="H7" s="4"/>
    </row>
    <row r="8" spans="1:11">
      <c r="A8" s="13">
        <v>5</v>
      </c>
      <c r="B8" s="14">
        <f>B7+C7</f>
        <v>22.467652126269925</v>
      </c>
      <c r="C8" s="14">
        <f t="shared" si="0"/>
        <v>0.96161551100435272</v>
      </c>
      <c r="D8" s="15">
        <f t="shared" si="1"/>
        <v>1.2020193887554409</v>
      </c>
      <c r="E8" s="16">
        <f t="shared" si="2"/>
        <v>2.6444426552619702</v>
      </c>
      <c r="F8" s="16">
        <f t="shared" si="2"/>
        <v>5.8177738415763347</v>
      </c>
      <c r="G8" s="16">
        <f t="shared" si="2"/>
        <v>12.799102451467938</v>
      </c>
      <c r="H8" s="4"/>
    </row>
    <row r="9" spans="1:11">
      <c r="A9" s="13">
        <v>6</v>
      </c>
      <c r="B9" s="14">
        <f t="shared" ref="B9:B72" si="3">B8+C8</f>
        <v>23.429267637274279</v>
      </c>
      <c r="C9" s="14">
        <f t="shared" si="0"/>
        <v>1.0027726548753391</v>
      </c>
      <c r="D9" s="15">
        <f t="shared" si="1"/>
        <v>1.2534658185941738</v>
      </c>
      <c r="E9" s="16">
        <f t="shared" si="2"/>
        <v>2.7576248009071826</v>
      </c>
      <c r="F9" s="16">
        <f t="shared" si="2"/>
        <v>6.0667745619958025</v>
      </c>
      <c r="G9" s="16">
        <f t="shared" si="2"/>
        <v>13.346904036390766</v>
      </c>
      <c r="H9" s="4"/>
    </row>
    <row r="10" spans="1:11">
      <c r="A10" s="13">
        <v>7</v>
      </c>
      <c r="B10" s="14">
        <f t="shared" si="3"/>
        <v>24.432040292149619</v>
      </c>
      <c r="C10" s="14">
        <f t="shared" si="0"/>
        <v>1.0456913245040036</v>
      </c>
      <c r="D10" s="15">
        <f t="shared" si="1"/>
        <v>1.3071141556300045</v>
      </c>
      <c r="E10" s="16">
        <f t="shared" si="2"/>
        <v>2.8756511423860101</v>
      </c>
      <c r="F10" s="16">
        <f t="shared" si="2"/>
        <v>6.3264325132492223</v>
      </c>
      <c r="G10" s="16">
        <f t="shared" si="2"/>
        <v>13.91815152914829</v>
      </c>
      <c r="H10" s="4"/>
    </row>
    <row r="11" spans="1:11">
      <c r="A11" s="13">
        <v>8</v>
      </c>
      <c r="B11" s="14">
        <f t="shared" si="3"/>
        <v>25.477731616653621</v>
      </c>
      <c r="C11" s="14">
        <f t="shared" si="0"/>
        <v>1.090446913192775</v>
      </c>
      <c r="D11" s="15">
        <f t="shared" si="1"/>
        <v>1.3630586414909687</v>
      </c>
      <c r="E11" s="16">
        <f t="shared" si="2"/>
        <v>2.9987290112801315</v>
      </c>
      <c r="F11" s="16">
        <f t="shared" si="2"/>
        <v>6.5972038248162894</v>
      </c>
      <c r="G11" s="16">
        <f t="shared" si="2"/>
        <v>14.513848414595838</v>
      </c>
      <c r="H11" s="17"/>
    </row>
    <row r="12" spans="1:11">
      <c r="A12" s="13">
        <v>9</v>
      </c>
      <c r="B12" s="14">
        <f t="shared" si="3"/>
        <v>26.568178529846396</v>
      </c>
      <c r="C12" s="14">
        <f t="shared" si="0"/>
        <v>1.1371180410774258</v>
      </c>
      <c r="D12" s="15">
        <f t="shared" si="1"/>
        <v>1.4213975513467823</v>
      </c>
      <c r="E12" s="16">
        <f t="shared" si="2"/>
        <v>3.1270746129629212</v>
      </c>
      <c r="F12" s="16">
        <f t="shared" si="2"/>
        <v>6.8795641485184271</v>
      </c>
      <c r="G12" s="16">
        <f t="shared" si="2"/>
        <v>15.135041126740541</v>
      </c>
      <c r="H12" s="17"/>
      <c r="K12" s="18"/>
    </row>
    <row r="13" spans="1:11">
      <c r="A13" s="13">
        <v>10</v>
      </c>
      <c r="B13" s="14">
        <f t="shared" si="3"/>
        <v>27.705296570923821</v>
      </c>
      <c r="C13" s="14">
        <f t="shared" si="0"/>
        <v>1.1857866932355394</v>
      </c>
      <c r="D13" s="15">
        <f t="shared" si="1"/>
        <v>1.4822333665444243</v>
      </c>
      <c r="E13" s="16">
        <f t="shared" si="2"/>
        <v>3.2609134063977336</v>
      </c>
      <c r="F13" s="16">
        <f t="shared" si="2"/>
        <v>7.1740094940750145</v>
      </c>
      <c r="G13" s="16">
        <f t="shared" si="2"/>
        <v>15.782820886965034</v>
      </c>
      <c r="H13" s="4"/>
    </row>
    <row r="14" spans="1:11">
      <c r="A14" s="13">
        <v>11</v>
      </c>
      <c r="B14" s="14">
        <f t="shared" si="3"/>
        <v>28.891083264159359</v>
      </c>
      <c r="C14" s="14">
        <f t="shared" si="0"/>
        <v>1.2365383637060205</v>
      </c>
      <c r="D14" s="15">
        <f t="shared" si="1"/>
        <v>1.5456729546325256</v>
      </c>
      <c r="E14" s="16">
        <f t="shared" si="2"/>
        <v>3.4004805001915566</v>
      </c>
      <c r="F14" s="16">
        <f t="shared" si="2"/>
        <v>7.4810571004214248</v>
      </c>
      <c r="G14" s="16">
        <f t="shared" si="2"/>
        <v>16.458325620927138</v>
      </c>
      <c r="H14" s="4"/>
    </row>
    <row r="15" spans="1:11">
      <c r="A15" s="13">
        <v>12</v>
      </c>
      <c r="B15" s="14">
        <f t="shared" si="3"/>
        <v>30.127621627865381</v>
      </c>
      <c r="C15" s="14">
        <f t="shared" si="0"/>
        <v>1.2894622056726384</v>
      </c>
      <c r="D15" s="15">
        <f t="shared" si="1"/>
        <v>1.6118277570907977</v>
      </c>
      <c r="E15" s="16">
        <f t="shared" si="2"/>
        <v>3.5460210655997555</v>
      </c>
      <c r="F15" s="16">
        <f t="shared" si="2"/>
        <v>7.8012463443194626</v>
      </c>
      <c r="G15" s="16">
        <f t="shared" si="2"/>
        <v>17.162741957502821</v>
      </c>
      <c r="H15" s="4"/>
      <c r="I15" s="18">
        <f>D15*85%</f>
        <v>1.370053593527178</v>
      </c>
    </row>
    <row r="16" spans="1:11">
      <c r="A16" s="13">
        <v>13</v>
      </c>
      <c r="B16" s="14">
        <f t="shared" si="3"/>
        <v>31.417083833538019</v>
      </c>
      <c r="C16" s="14">
        <f t="shared" si="0"/>
        <v>1.3446511880754273</v>
      </c>
      <c r="D16" s="15">
        <f t="shared" si="1"/>
        <v>1.680813985094284</v>
      </c>
      <c r="E16" s="16">
        <f t="shared" si="2"/>
        <v>3.6977907672074251</v>
      </c>
      <c r="F16" s="16">
        <f t="shared" si="2"/>
        <v>8.135139687856336</v>
      </c>
      <c r="G16" s="16">
        <f t="shared" si="2"/>
        <v>17.897307313283942</v>
      </c>
      <c r="H16" s="4"/>
    </row>
    <row r="17" spans="1:9">
      <c r="A17" s="13">
        <v>14</v>
      </c>
      <c r="B17" s="14">
        <f t="shared" si="3"/>
        <v>32.761735021613447</v>
      </c>
      <c r="C17" s="14">
        <f t="shared" si="0"/>
        <v>1.4022022589250556</v>
      </c>
      <c r="D17" s="15">
        <f t="shared" si="1"/>
        <v>1.7527528236563195</v>
      </c>
      <c r="E17" s="16">
        <f t="shared" si="2"/>
        <v>3.856056212043903</v>
      </c>
      <c r="F17" s="16">
        <f t="shared" si="2"/>
        <v>8.4833236664965881</v>
      </c>
      <c r="G17" s="16">
        <f t="shared" si="2"/>
        <v>18.663312066292495</v>
      </c>
      <c r="H17" s="4"/>
    </row>
    <row r="18" spans="1:9">
      <c r="A18" s="13">
        <v>15</v>
      </c>
      <c r="B18" s="19">
        <f t="shared" si="3"/>
        <v>34.163937280538505</v>
      </c>
      <c r="C18" s="19">
        <f t="shared" si="0"/>
        <v>1.4622165156070481</v>
      </c>
      <c r="D18" s="20">
        <f t="shared" si="1"/>
        <v>1.82777064450881</v>
      </c>
      <c r="E18" s="17">
        <f t="shared" si="2"/>
        <v>4.0210954179193825</v>
      </c>
      <c r="F18" s="17">
        <f t="shared" si="2"/>
        <v>8.8464099194226424</v>
      </c>
      <c r="G18" s="17">
        <f t="shared" si="2"/>
        <v>19.462101822729814</v>
      </c>
      <c r="H18" s="4"/>
    </row>
    <row r="19" spans="1:9">
      <c r="A19" s="13">
        <v>16</v>
      </c>
      <c r="B19" s="19">
        <f t="shared" si="3"/>
        <v>35.626153796145552</v>
      </c>
      <c r="C19" s="19">
        <f t="shared" si="0"/>
        <v>1.5247993824750297</v>
      </c>
      <c r="D19" s="20">
        <f t="shared" si="1"/>
        <v>1.905999228093787</v>
      </c>
      <c r="E19" s="17">
        <f t="shared" si="2"/>
        <v>4.1931983018063317</v>
      </c>
      <c r="F19" s="17">
        <f t="shared" si="2"/>
        <v>9.2250362639739301</v>
      </c>
      <c r="G19" s="17">
        <f t="shared" si="2"/>
        <v>20.295079780742647</v>
      </c>
      <c r="H19" s="4"/>
    </row>
    <row r="20" spans="1:9">
      <c r="A20" s="13">
        <v>17</v>
      </c>
      <c r="B20" s="19">
        <f t="shared" si="3"/>
        <v>37.150953178620583</v>
      </c>
      <c r="C20" s="19">
        <f t="shared" si="0"/>
        <v>1.5900607960449609</v>
      </c>
      <c r="D20" s="20">
        <f t="shared" si="1"/>
        <v>1.9875759950562011</v>
      </c>
      <c r="E20" s="17">
        <f t="shared" si="2"/>
        <v>4.3726671891236428</v>
      </c>
      <c r="F20" s="17">
        <f t="shared" si="2"/>
        <v>9.6198678160720146</v>
      </c>
      <c r="G20" s="17">
        <f t="shared" si="2"/>
        <v>21.163709195358432</v>
      </c>
      <c r="H20" s="4"/>
    </row>
    <row r="21" spans="1:9">
      <c r="A21" s="13">
        <v>18</v>
      </c>
      <c r="B21" s="19">
        <f t="shared" si="3"/>
        <v>38.741013974665542</v>
      </c>
      <c r="C21" s="19">
        <f t="shared" si="0"/>
        <v>1.6581153981156853</v>
      </c>
      <c r="D21" s="20">
        <f t="shared" si="1"/>
        <v>2.0726442476446065</v>
      </c>
      <c r="E21" s="17">
        <f t="shared" ref="E21:G36" si="4">D21*E$3</f>
        <v>4.5598173448181347</v>
      </c>
      <c r="F21" s="17">
        <f t="shared" si="4"/>
        <v>10.031598158599897</v>
      </c>
      <c r="G21" s="17">
        <f t="shared" si="4"/>
        <v>22.069515948919776</v>
      </c>
      <c r="H21" s="4"/>
    </row>
    <row r="22" spans="1:9">
      <c r="A22" s="13">
        <v>19</v>
      </c>
      <c r="B22" s="19">
        <f t="shared" si="3"/>
        <v>40.399129372781225</v>
      </c>
      <c r="C22" s="19">
        <f t="shared" si="0"/>
        <v>1.7290827371550366</v>
      </c>
      <c r="D22" s="20">
        <f t="shared" si="1"/>
        <v>2.1613534214437955</v>
      </c>
      <c r="E22" s="17">
        <f t="shared" si="4"/>
        <v>4.7549775271763508</v>
      </c>
      <c r="F22" s="17">
        <f t="shared" si="4"/>
        <v>10.460950559787973</v>
      </c>
      <c r="G22" s="17">
        <f t="shared" si="4"/>
        <v>23.014091231533541</v>
      </c>
      <c r="H22" s="21"/>
    </row>
    <row r="23" spans="1:9">
      <c r="A23" s="13">
        <v>20</v>
      </c>
      <c r="B23" s="19">
        <f t="shared" si="3"/>
        <v>42.128212109936264</v>
      </c>
      <c r="C23" s="19">
        <f t="shared" si="0"/>
        <v>1.8030874783052722</v>
      </c>
      <c r="D23" s="20">
        <f t="shared" si="1"/>
        <v>2.25385934788159</v>
      </c>
      <c r="E23" s="17">
        <f t="shared" si="4"/>
        <v>4.9584905653394982</v>
      </c>
      <c r="F23" s="17">
        <f t="shared" si="4"/>
        <v>10.908679243746898</v>
      </c>
      <c r="G23" s="17">
        <f t="shared" si="4"/>
        <v>23.999094336243175</v>
      </c>
      <c r="H23" s="4"/>
    </row>
    <row r="24" spans="1:9">
      <c r="A24" s="13">
        <v>21</v>
      </c>
      <c r="B24" s="19">
        <f t="shared" si="3"/>
        <v>43.931299588241536</v>
      </c>
      <c r="C24" s="19">
        <f t="shared" si="0"/>
        <v>1.8802596223767378</v>
      </c>
      <c r="D24" s="20">
        <f t="shared" si="1"/>
        <v>2.3503245279709222</v>
      </c>
      <c r="E24" s="17">
        <f t="shared" si="4"/>
        <v>5.1707139615360296</v>
      </c>
      <c r="F24" s="17">
        <f t="shared" si="4"/>
        <v>11.375570715379267</v>
      </c>
      <c r="G24" s="17">
        <f t="shared" si="4"/>
        <v>25.026255573834387</v>
      </c>
      <c r="H24" s="4"/>
    </row>
    <row r="25" spans="1:9">
      <c r="A25" s="13">
        <v>22</v>
      </c>
      <c r="B25" s="19">
        <f t="shared" si="3"/>
        <v>45.811559210618277</v>
      </c>
      <c r="C25" s="19">
        <f t="shared" si="0"/>
        <v>1.9607347342144621</v>
      </c>
      <c r="D25" s="20">
        <f t="shared" si="1"/>
        <v>2.4509184177680776</v>
      </c>
      <c r="E25" s="17">
        <f t="shared" si="4"/>
        <v>5.3920205190897708</v>
      </c>
      <c r="F25" s="17">
        <f t="shared" si="4"/>
        <v>11.862445141997497</v>
      </c>
      <c r="G25" s="17">
        <f t="shared" si="4"/>
        <v>26.097379312394498</v>
      </c>
      <c r="H25" s="4"/>
    </row>
    <row r="26" spans="1:9">
      <c r="A26" s="13">
        <v>23</v>
      </c>
      <c r="B26" s="19">
        <f t="shared" si="3"/>
        <v>47.772293944832739</v>
      </c>
      <c r="C26" s="19">
        <f t="shared" si="0"/>
        <v>2.0446541808388417</v>
      </c>
      <c r="D26" s="20">
        <f t="shared" si="1"/>
        <v>2.5558177260485517</v>
      </c>
      <c r="E26" s="17">
        <f t="shared" si="4"/>
        <v>5.6227989973068144</v>
      </c>
      <c r="F26" s="17">
        <f t="shared" si="4"/>
        <v>12.370157794074993</v>
      </c>
      <c r="G26" s="17">
        <f t="shared" si="4"/>
        <v>27.214347146964986</v>
      </c>
      <c r="H26" s="4"/>
    </row>
    <row r="27" spans="1:9">
      <c r="A27" s="13">
        <v>24</v>
      </c>
      <c r="B27" s="19">
        <f t="shared" si="3"/>
        <v>49.81694812567158</v>
      </c>
      <c r="C27" s="19">
        <f t="shared" si="0"/>
        <v>2.1321653797787437</v>
      </c>
      <c r="D27" s="20">
        <f t="shared" si="1"/>
        <v>2.6652067247234297</v>
      </c>
      <c r="E27" s="17">
        <f t="shared" si="4"/>
        <v>5.8634547943915454</v>
      </c>
      <c r="F27" s="17">
        <f t="shared" si="4"/>
        <v>12.8996005476614</v>
      </c>
      <c r="G27" s="17">
        <f t="shared" si="4"/>
        <v>28.379121204855082</v>
      </c>
      <c r="H27" s="4"/>
    </row>
    <row r="28" spans="1:9">
      <c r="A28" s="13">
        <v>25</v>
      </c>
      <c r="B28" s="19">
        <f t="shared" si="3"/>
        <v>51.94911350545032</v>
      </c>
      <c r="C28" s="19">
        <f t="shared" si="0"/>
        <v>2.2234220580332735</v>
      </c>
      <c r="D28" s="20">
        <f t="shared" si="1"/>
        <v>2.7792775725415919</v>
      </c>
      <c r="E28" s="17">
        <f t="shared" si="4"/>
        <v>6.1144106595915027</v>
      </c>
      <c r="F28" s="17">
        <f t="shared" si="4"/>
        <v>13.451703451101308</v>
      </c>
      <c r="G28" s="17">
        <f t="shared" si="4"/>
        <v>29.593747592422879</v>
      </c>
      <c r="H28" s="4"/>
    </row>
    <row r="29" spans="1:9">
      <c r="A29" s="13">
        <v>26</v>
      </c>
      <c r="B29" s="19">
        <f t="shared" si="3"/>
        <v>54.172535563483592</v>
      </c>
      <c r="C29" s="19">
        <f t="shared" si="0"/>
        <v>2.3185845221170975</v>
      </c>
      <c r="D29" s="20">
        <f t="shared" si="1"/>
        <v>2.8982306526463719</v>
      </c>
      <c r="E29" s="17">
        <f t="shared" si="4"/>
        <v>6.3761074358220187</v>
      </c>
      <c r="F29" s="17">
        <f t="shared" si="4"/>
        <v>14.027436358808442</v>
      </c>
      <c r="G29" s="17">
        <f t="shared" si="4"/>
        <v>30.860359989378576</v>
      </c>
      <c r="H29" s="4"/>
    </row>
    <row r="30" spans="1:9">
      <c r="A30" s="13">
        <v>27</v>
      </c>
      <c r="B30" s="19">
        <f t="shared" si="3"/>
        <v>56.491120085600691</v>
      </c>
      <c r="C30" s="19">
        <f t="shared" si="0"/>
        <v>2.4178199396637097</v>
      </c>
      <c r="D30" s="20">
        <f t="shared" si="1"/>
        <v>3.0222749245796368</v>
      </c>
      <c r="E30" s="17">
        <f t="shared" si="4"/>
        <v>6.6490048340752015</v>
      </c>
      <c r="F30" s="17">
        <f t="shared" si="4"/>
        <v>14.627810634965444</v>
      </c>
      <c r="G30" s="17">
        <f t="shared" si="4"/>
        <v>32.181183396923977</v>
      </c>
      <c r="H30" s="4"/>
      <c r="I30" s="13"/>
    </row>
    <row r="31" spans="1:9">
      <c r="A31" s="13">
        <v>28</v>
      </c>
      <c r="B31" s="19">
        <f t="shared" si="3"/>
        <v>58.9089400252644</v>
      </c>
      <c r="C31" s="19">
        <f t="shared" si="0"/>
        <v>2.5213026330813162</v>
      </c>
      <c r="D31" s="20">
        <f t="shared" si="1"/>
        <v>3.1516282913516451</v>
      </c>
      <c r="E31" s="17">
        <f t="shared" si="4"/>
        <v>6.9335822409736201</v>
      </c>
      <c r="F31" s="17">
        <f t="shared" si="4"/>
        <v>15.253880930141966</v>
      </c>
      <c r="G31" s="17">
        <f t="shared" si="4"/>
        <v>33.558538046312329</v>
      </c>
      <c r="H31" s="4"/>
      <c r="I31" s="13"/>
    </row>
    <row r="32" spans="1:9">
      <c r="A32" s="13">
        <v>29</v>
      </c>
      <c r="B32" s="19">
        <f t="shared" si="3"/>
        <v>61.430242658345719</v>
      </c>
      <c r="C32" s="19">
        <f t="shared" si="0"/>
        <v>2.629214385777197</v>
      </c>
      <c r="D32" s="20">
        <f t="shared" si="1"/>
        <v>3.286517982221496</v>
      </c>
      <c r="E32" s="17">
        <f t="shared" si="4"/>
        <v>7.230339560887292</v>
      </c>
      <c r="F32" s="17">
        <f t="shared" si="4"/>
        <v>15.906747033952044</v>
      </c>
      <c r="G32" s="17">
        <f t="shared" si="4"/>
        <v>34.994843474694498</v>
      </c>
      <c r="H32" s="4"/>
      <c r="I32" s="13"/>
    </row>
    <row r="33" spans="1:11">
      <c r="A33" s="13">
        <v>30</v>
      </c>
      <c r="B33" s="19">
        <f t="shared" si="3"/>
        <v>64.059457044122922</v>
      </c>
      <c r="C33" s="19">
        <f t="shared" si="0"/>
        <v>2.7417447614884614</v>
      </c>
      <c r="D33" s="20">
        <f t="shared" si="1"/>
        <v>3.4271809518605765</v>
      </c>
      <c r="E33" s="17">
        <f t="shared" si="4"/>
        <v>7.5397980940932685</v>
      </c>
      <c r="F33" s="17">
        <f t="shared" si="4"/>
        <v>16.587555807005192</v>
      </c>
      <c r="G33" s="17">
        <f t="shared" si="4"/>
        <v>36.492622775411427</v>
      </c>
      <c r="H33" s="4"/>
      <c r="I33" s="13"/>
    </row>
    <row r="34" spans="1:11">
      <c r="A34" s="13">
        <v>31</v>
      </c>
      <c r="B34" s="19">
        <f t="shared" si="3"/>
        <v>66.801201805611385</v>
      </c>
      <c r="C34" s="19">
        <f t="shared" si="0"/>
        <v>2.8590914372801675</v>
      </c>
      <c r="D34" s="20">
        <f t="shared" si="1"/>
        <v>3.5738642966002092</v>
      </c>
      <c r="E34" s="17">
        <f t="shared" si="4"/>
        <v>7.8625014525204611</v>
      </c>
      <c r="F34" s="17">
        <f t="shared" si="4"/>
        <v>17.297503195545016</v>
      </c>
      <c r="G34" s="17">
        <f t="shared" si="4"/>
        <v>38.054507030199041</v>
      </c>
      <c r="H34" s="4"/>
      <c r="I34" s="13"/>
    </row>
    <row r="35" spans="1:11">
      <c r="A35" s="13">
        <v>32</v>
      </c>
      <c r="B35" s="19">
        <f t="shared" si="3"/>
        <v>69.660293242891555</v>
      </c>
      <c r="C35" s="19">
        <f t="shared" si="0"/>
        <v>2.9814605507957586</v>
      </c>
      <c r="D35" s="20">
        <f t="shared" si="1"/>
        <v>3.726825688494698</v>
      </c>
      <c r="E35" s="17">
        <f t="shared" si="4"/>
        <v>8.1990165146883367</v>
      </c>
      <c r="F35" s="17">
        <f t="shared" si="4"/>
        <v>18.037836332314342</v>
      </c>
      <c r="G35" s="17">
        <f t="shared" si="4"/>
        <v>39.683239931091556</v>
      </c>
      <c r="H35" s="4"/>
    </row>
    <row r="36" spans="1:11">
      <c r="A36" s="13">
        <v>33</v>
      </c>
      <c r="B36" s="19">
        <f t="shared" si="3"/>
        <v>72.641753793687315</v>
      </c>
      <c r="C36" s="19">
        <f t="shared" si="0"/>
        <v>3.1090670623698173</v>
      </c>
      <c r="D36" s="20">
        <f t="shared" si="1"/>
        <v>3.8863338279622712</v>
      </c>
      <c r="E36" s="17">
        <f t="shared" si="4"/>
        <v>8.5499344215169977</v>
      </c>
      <c r="F36" s="17">
        <f t="shared" si="4"/>
        <v>18.809855727337396</v>
      </c>
      <c r="G36" s="17">
        <f t="shared" si="4"/>
        <v>41.381682600142277</v>
      </c>
      <c r="H36" s="4"/>
      <c r="I36" s="13"/>
      <c r="J36" s="13"/>
      <c r="K36" s="13"/>
    </row>
    <row r="37" spans="1:11">
      <c r="A37" s="13">
        <v>34</v>
      </c>
      <c r="B37" s="19">
        <f t="shared" si="3"/>
        <v>75.750820856057132</v>
      </c>
      <c r="C37" s="19">
        <f t="shared" si="0"/>
        <v>3.2421351326392456</v>
      </c>
      <c r="D37" s="20">
        <f t="shared" si="1"/>
        <v>4.0526689157990567</v>
      </c>
      <c r="E37" s="17">
        <f t="shared" ref="E37:G52" si="5">D37*E$3</f>
        <v>8.9158716147579256</v>
      </c>
      <c r="F37" s="17">
        <f t="shared" si="5"/>
        <v>19.614917552467439</v>
      </c>
      <c r="G37" s="17">
        <f t="shared" si="5"/>
        <v>43.152818615428366</v>
      </c>
      <c r="H37" s="4"/>
      <c r="I37" s="13"/>
      <c r="J37" s="13"/>
      <c r="K37" s="13"/>
    </row>
    <row r="38" spans="1:11">
      <c r="A38" s="13">
        <v>35</v>
      </c>
      <c r="B38" s="19">
        <f t="shared" si="3"/>
        <v>78.99295598869638</v>
      </c>
      <c r="C38" s="19">
        <f t="shared" si="0"/>
        <v>3.3808985163162051</v>
      </c>
      <c r="D38" s="20">
        <f t="shared" si="1"/>
        <v>4.2261231453952561</v>
      </c>
      <c r="E38" s="17">
        <f t="shared" si="5"/>
        <v>9.2974709198695642</v>
      </c>
      <c r="F38" s="17">
        <f t="shared" si="5"/>
        <v>20.454436023713043</v>
      </c>
      <c r="G38" s="17">
        <f t="shared" si="5"/>
        <v>44.999759252168701</v>
      </c>
      <c r="H38" s="4"/>
    </row>
    <row r="39" spans="1:11">
      <c r="A39" s="13">
        <v>36</v>
      </c>
      <c r="B39" s="19">
        <f t="shared" si="3"/>
        <v>82.373854505012588</v>
      </c>
      <c r="C39" s="19">
        <f t="shared" si="0"/>
        <v>3.525600972814539</v>
      </c>
      <c r="D39" s="20">
        <f t="shared" si="1"/>
        <v>4.4070012160181733</v>
      </c>
      <c r="E39" s="17">
        <f t="shared" si="5"/>
        <v>9.6954026752399827</v>
      </c>
      <c r="F39" s="17">
        <f t="shared" si="5"/>
        <v>21.329885885527965</v>
      </c>
      <c r="G39" s="17">
        <f t="shared" si="5"/>
        <v>46.925748948161527</v>
      </c>
      <c r="H39" s="4"/>
    </row>
    <row r="40" spans="1:11">
      <c r="A40" s="13">
        <v>37</v>
      </c>
      <c r="B40" s="22">
        <f t="shared" si="3"/>
        <v>85.899455477827132</v>
      </c>
      <c r="C40" s="22">
        <f t="shared" si="0"/>
        <v>3.6764966944510018</v>
      </c>
      <c r="D40" s="23">
        <f t="shared" si="1"/>
        <v>4.5956208680637518</v>
      </c>
      <c r="E40" s="24">
        <f t="shared" si="5"/>
        <v>10.110365909740255</v>
      </c>
      <c r="F40" s="24">
        <f t="shared" si="5"/>
        <v>22.242805001428561</v>
      </c>
      <c r="G40" s="24">
        <f t="shared" si="5"/>
        <v>48.934171003142836</v>
      </c>
      <c r="H40" s="25"/>
    </row>
    <row r="41" spans="1:11">
      <c r="A41" s="13">
        <v>38</v>
      </c>
      <c r="B41" s="19">
        <f t="shared" si="3"/>
        <v>89.575952172278136</v>
      </c>
      <c r="C41" s="19">
        <f t="shared" si="0"/>
        <v>3.833850752973504</v>
      </c>
      <c r="D41" s="20">
        <f t="shared" si="1"/>
        <v>4.79231344121688</v>
      </c>
      <c r="E41" s="17">
        <f t="shared" si="5"/>
        <v>10.543089570677136</v>
      </c>
      <c r="F41" s="17">
        <f t="shared" si="5"/>
        <v>23.194797055489701</v>
      </c>
      <c r="G41" s="17">
        <f t="shared" si="5"/>
        <v>51.028553522077345</v>
      </c>
      <c r="H41" s="4"/>
    </row>
    <row r="42" spans="1:11">
      <c r="A42" s="13">
        <v>39</v>
      </c>
      <c r="B42" s="19">
        <f t="shared" si="3"/>
        <v>93.40980292525164</v>
      </c>
      <c r="C42" s="19">
        <f t="shared" si="0"/>
        <v>3.9979395652007703</v>
      </c>
      <c r="D42" s="20">
        <f t="shared" si="1"/>
        <v>4.9974244565009629</v>
      </c>
      <c r="E42" s="17">
        <f t="shared" si="5"/>
        <v>10.994333804302119</v>
      </c>
      <c r="F42" s="17">
        <f t="shared" si="5"/>
        <v>24.187534369464665</v>
      </c>
      <c r="G42" s="17">
        <f t="shared" si="5"/>
        <v>53.212575612822263</v>
      </c>
      <c r="H42" s="4"/>
    </row>
    <row r="43" spans="1:11">
      <c r="A43" s="13">
        <v>40</v>
      </c>
      <c r="B43" s="19">
        <f t="shared" si="3"/>
        <v>97.407742490452407</v>
      </c>
      <c r="C43" s="19">
        <f t="shared" si="0"/>
        <v>4.1690513785913632</v>
      </c>
      <c r="D43" s="20">
        <f t="shared" si="1"/>
        <v>5.2113142232392038</v>
      </c>
      <c r="E43" s="17">
        <f t="shared" si="5"/>
        <v>11.46489129112625</v>
      </c>
      <c r="F43" s="17">
        <f t="shared" si="5"/>
        <v>25.222760840477751</v>
      </c>
      <c r="G43" s="17">
        <f t="shared" si="5"/>
        <v>55.490073849051058</v>
      </c>
      <c r="H43" s="4"/>
      <c r="I43" s="18">
        <f>B43-B33</f>
        <v>33.348285446329484</v>
      </c>
    </row>
    <row r="44" spans="1:11">
      <c r="A44" s="13">
        <v>41</v>
      </c>
      <c r="B44" s="19">
        <f t="shared" si="3"/>
        <v>101.57679386904377</v>
      </c>
      <c r="C44" s="19">
        <f t="shared" si="0"/>
        <v>4.3474867775950736</v>
      </c>
      <c r="D44" s="20">
        <f t="shared" si="1"/>
        <v>5.4343584719938418</v>
      </c>
      <c r="E44" s="17">
        <f t="shared" si="5"/>
        <v>11.955588638386454</v>
      </c>
      <c r="F44" s="17">
        <f t="shared" si="5"/>
        <v>26.302295004450201</v>
      </c>
      <c r="G44" s="17">
        <f t="shared" si="5"/>
        <v>57.865049009790447</v>
      </c>
      <c r="H44" s="4"/>
    </row>
    <row r="45" spans="1:11">
      <c r="A45" s="13">
        <v>42</v>
      </c>
      <c r="B45" s="19">
        <f t="shared" si="3"/>
        <v>105.92428064663885</v>
      </c>
      <c r="C45" s="19">
        <f t="shared" si="0"/>
        <v>4.5335592116761427</v>
      </c>
      <c r="D45" s="20">
        <f t="shared" si="1"/>
        <v>5.6669490145951782</v>
      </c>
      <c r="E45" s="17">
        <f t="shared" si="5"/>
        <v>12.467287832109394</v>
      </c>
      <c r="F45" s="17">
        <f t="shared" si="5"/>
        <v>27.428033230640668</v>
      </c>
      <c r="G45" s="17">
        <f t="shared" si="5"/>
        <v>60.341673107409477</v>
      </c>
      <c r="H45" s="4"/>
    </row>
    <row r="46" spans="1:11">
      <c r="A46" s="13">
        <v>43</v>
      </c>
      <c r="B46" s="19">
        <f t="shared" si="3"/>
        <v>110.457839858315</v>
      </c>
      <c r="C46" s="19">
        <f t="shared" si="0"/>
        <v>4.7275955459358823</v>
      </c>
      <c r="D46" s="20">
        <f t="shared" si="1"/>
        <v>5.9094944324198524</v>
      </c>
      <c r="E46" s="17">
        <f t="shared" si="5"/>
        <v>13.000887751323676</v>
      </c>
      <c r="F46" s="17">
        <f t="shared" si="5"/>
        <v>28.601953052912091</v>
      </c>
      <c r="G46" s="17">
        <f t="shared" si="5"/>
        <v>62.924296716406602</v>
      </c>
      <c r="H46" s="4"/>
    </row>
    <row r="47" spans="1:11">
      <c r="A47" s="13">
        <v>44</v>
      </c>
      <c r="B47" s="19">
        <f t="shared" si="3"/>
        <v>115.18543540425088</v>
      </c>
      <c r="C47" s="19">
        <f t="shared" si="0"/>
        <v>4.9299366353019378</v>
      </c>
      <c r="D47" s="20">
        <f t="shared" si="1"/>
        <v>6.1624207941274216</v>
      </c>
      <c r="E47" s="17">
        <f t="shared" si="5"/>
        <v>13.557325747080329</v>
      </c>
      <c r="F47" s="17">
        <f t="shared" si="5"/>
        <v>29.826116643576725</v>
      </c>
      <c r="G47" s="17">
        <f t="shared" si="5"/>
        <v>65.617456615868804</v>
      </c>
      <c r="H47" s="4"/>
    </row>
    <row r="48" spans="1:11">
      <c r="A48" s="13">
        <v>45</v>
      </c>
      <c r="B48" s="19">
        <f t="shared" si="3"/>
        <v>120.11537203955282</v>
      </c>
      <c r="C48" s="19">
        <f t="shared" si="0"/>
        <v>5.1409379232928609</v>
      </c>
      <c r="D48" s="20">
        <f t="shared" si="1"/>
        <v>6.4261724041160759</v>
      </c>
      <c r="E48" s="17">
        <f t="shared" si="5"/>
        <v>14.137579289055369</v>
      </c>
      <c r="F48" s="17">
        <f t="shared" si="5"/>
        <v>31.102674435921813</v>
      </c>
      <c r="G48" s="17">
        <f t="shared" si="5"/>
        <v>68.425883759027997</v>
      </c>
      <c r="H48" s="4">
        <f>19*6</f>
        <v>114</v>
      </c>
    </row>
    <row r="49" spans="1:9">
      <c r="A49" s="13">
        <v>46</v>
      </c>
      <c r="B49" s="19">
        <f t="shared" si="3"/>
        <v>125.25630996284569</v>
      </c>
      <c r="C49" s="19">
        <f t="shared" si="0"/>
        <v>5.3609700664097959</v>
      </c>
      <c r="D49" s="20">
        <f t="shared" si="1"/>
        <v>6.7012125830122447</v>
      </c>
      <c r="E49" s="17">
        <f t="shared" si="5"/>
        <v>14.742667682626939</v>
      </c>
      <c r="F49" s="17">
        <f t="shared" si="5"/>
        <v>32.43386890177927</v>
      </c>
      <c r="G49" s="17">
        <f t="shared" si="5"/>
        <v>71.354511583914402</v>
      </c>
      <c r="H49" s="4"/>
    </row>
    <row r="50" spans="1:9">
      <c r="A50" s="13">
        <v>47</v>
      </c>
      <c r="B50" s="26">
        <f t="shared" si="3"/>
        <v>130.61728002925548</v>
      </c>
      <c r="C50" s="26">
        <f t="shared" si="0"/>
        <v>5.5904195852521354</v>
      </c>
      <c r="D50" s="27">
        <f t="shared" si="1"/>
        <v>6.9880244815651684</v>
      </c>
      <c r="E50" s="28">
        <f t="shared" si="5"/>
        <v>15.373653859443372</v>
      </c>
      <c r="F50" s="28">
        <f t="shared" si="5"/>
        <v>33.822038490775419</v>
      </c>
      <c r="G50" s="28">
        <f t="shared" si="5"/>
        <v>74.408484679705936</v>
      </c>
      <c r="H50" s="29"/>
    </row>
    <row r="51" spans="1:9">
      <c r="A51" s="13">
        <v>48</v>
      </c>
      <c r="B51" s="19">
        <f t="shared" si="3"/>
        <v>136.20769961450762</v>
      </c>
      <c r="C51" s="19">
        <f t="shared" si="0"/>
        <v>5.8296895435009262</v>
      </c>
      <c r="D51" s="20">
        <f t="shared" si="1"/>
        <v>7.2871119293761577</v>
      </c>
      <c r="E51" s="17">
        <f t="shared" si="5"/>
        <v>16.031646244627549</v>
      </c>
      <c r="F51" s="17">
        <f t="shared" si="5"/>
        <v>35.269621738180611</v>
      </c>
      <c r="G51" s="17">
        <f t="shared" si="5"/>
        <v>77.593167823997348</v>
      </c>
      <c r="H51" s="4"/>
    </row>
    <row r="52" spans="1:9">
      <c r="A52" s="13">
        <v>49</v>
      </c>
      <c r="B52" s="19">
        <f t="shared" si="3"/>
        <v>142.03738915800855</v>
      </c>
      <c r="C52" s="19">
        <f t="shared" si="0"/>
        <v>6.0792002559627667</v>
      </c>
      <c r="D52" s="20">
        <f t="shared" si="1"/>
        <v>7.5990003199534577</v>
      </c>
      <c r="E52" s="17">
        <f t="shared" si="5"/>
        <v>16.717800703897609</v>
      </c>
      <c r="F52" s="17">
        <f t="shared" si="5"/>
        <v>36.779161548574741</v>
      </c>
      <c r="G52" s="17">
        <f t="shared" si="5"/>
        <v>80.914155406864438</v>
      </c>
      <c r="H52" s="4"/>
    </row>
    <row r="53" spans="1:9">
      <c r="A53" s="13">
        <v>50</v>
      </c>
      <c r="B53" s="19">
        <f t="shared" si="3"/>
        <v>148.11658941397133</v>
      </c>
      <c r="C53" s="19">
        <f t="shared" si="0"/>
        <v>6.3393900269179726</v>
      </c>
      <c r="D53" s="20">
        <f t="shared" si="1"/>
        <v>7.9242375336474655</v>
      </c>
      <c r="E53" s="17">
        <f t="shared" ref="E53:G68" si="6">D53*E$3</f>
        <v>17.433322574024427</v>
      </c>
      <c r="F53" s="17">
        <f t="shared" si="6"/>
        <v>38.353309662853739</v>
      </c>
      <c r="G53" s="17">
        <f t="shared" si="6"/>
        <v>84.377281258278231</v>
      </c>
      <c r="H53" s="4"/>
    </row>
    <row r="54" spans="1:9">
      <c r="A54" s="13">
        <v>51</v>
      </c>
      <c r="B54" s="19">
        <f t="shared" si="3"/>
        <v>154.45597944088931</v>
      </c>
      <c r="C54" s="19">
        <f t="shared" si="0"/>
        <v>6.6107159200700627</v>
      </c>
      <c r="D54" s="20">
        <f t="shared" si="1"/>
        <v>8.2633949000875777</v>
      </c>
      <c r="E54" s="17">
        <f t="shared" si="6"/>
        <v>18.179468780192671</v>
      </c>
      <c r="F54" s="17">
        <f t="shared" si="6"/>
        <v>39.994831316423877</v>
      </c>
      <c r="G54" s="17">
        <f t="shared" si="6"/>
        <v>87.988628896132539</v>
      </c>
      <c r="H54" s="4"/>
    </row>
    <row r="55" spans="1:9">
      <c r="A55" s="13">
        <v>52</v>
      </c>
      <c r="B55" s="19">
        <f t="shared" si="3"/>
        <v>161.06669536095936</v>
      </c>
      <c r="C55" s="19">
        <f t="shared" si="0"/>
        <v>6.8936545614490603</v>
      </c>
      <c r="D55" s="20">
        <f t="shared" si="1"/>
        <v>8.6170682018113247</v>
      </c>
      <c r="E55" s="17">
        <f t="shared" si="6"/>
        <v>18.957550043984916</v>
      </c>
      <c r="F55" s="17">
        <f t="shared" si="6"/>
        <v>41.706610096766816</v>
      </c>
      <c r="G55" s="17">
        <f t="shared" si="6"/>
        <v>91.754542212887003</v>
      </c>
      <c r="H55" s="4"/>
    </row>
    <row r="56" spans="1:9">
      <c r="A56" s="13">
        <v>53</v>
      </c>
      <c r="B56" s="19">
        <f t="shared" si="3"/>
        <v>167.96034992240843</v>
      </c>
      <c r="C56" s="19">
        <f t="shared" si="0"/>
        <v>7.1887029766790809</v>
      </c>
      <c r="D56" s="20">
        <f t="shared" si="1"/>
        <v>8.9858787208488504</v>
      </c>
      <c r="E56" s="17">
        <f t="shared" si="6"/>
        <v>19.768933185867471</v>
      </c>
      <c r="F56" s="17">
        <f t="shared" si="6"/>
        <v>43.491653008908443</v>
      </c>
      <c r="G56" s="17">
        <f t="shared" si="6"/>
        <v>95.681636619598578</v>
      </c>
      <c r="H56" s="4"/>
    </row>
    <row r="57" spans="1:9">
      <c r="A57" s="13">
        <v>54</v>
      </c>
      <c r="B57" s="19">
        <f t="shared" si="3"/>
        <v>175.14905289908751</v>
      </c>
      <c r="C57" s="19">
        <f t="shared" si="0"/>
        <v>7.4963794640809454</v>
      </c>
      <c r="D57" s="20">
        <f t="shared" si="1"/>
        <v>9.3704743301011817</v>
      </c>
      <c r="E57" s="17">
        <f t="shared" si="6"/>
        <v>20.6150435262226</v>
      </c>
      <c r="F57" s="17">
        <f t="shared" si="6"/>
        <v>45.353095757689722</v>
      </c>
      <c r="G57" s="17">
        <f t="shared" si="6"/>
        <v>99.776810666917399</v>
      </c>
      <c r="H57" s="4"/>
    </row>
    <row r="58" spans="1:9">
      <c r="A58" s="13">
        <v>55</v>
      </c>
      <c r="B58" s="19">
        <f t="shared" si="3"/>
        <v>182.64543236316845</v>
      </c>
      <c r="C58" s="19">
        <f t="shared" si="0"/>
        <v>7.81722450514361</v>
      </c>
      <c r="D58" s="20">
        <f t="shared" si="1"/>
        <v>9.7715306314295116</v>
      </c>
      <c r="E58" s="17">
        <f t="shared" si="6"/>
        <v>21.497367389144927</v>
      </c>
      <c r="F58" s="17">
        <f t="shared" si="6"/>
        <v>47.294208256118843</v>
      </c>
      <c r="G58" s="17">
        <f t="shared" si="6"/>
        <v>104.04725816346146</v>
      </c>
      <c r="H58" s="4"/>
    </row>
    <row r="59" spans="1:9">
      <c r="A59" s="13">
        <v>56</v>
      </c>
      <c r="B59" s="19">
        <f t="shared" si="3"/>
        <v>190.46265686831205</v>
      </c>
      <c r="C59" s="19">
        <f t="shared" si="0"/>
        <v>8.1518017139637546</v>
      </c>
      <c r="D59" s="20">
        <f t="shared" si="1"/>
        <v>10.189752142454694</v>
      </c>
      <c r="E59" s="17">
        <f t="shared" si="6"/>
        <v>22.417454713400328</v>
      </c>
      <c r="F59" s="17">
        <f t="shared" si="6"/>
        <v>49.318400369480727</v>
      </c>
      <c r="G59" s="17">
        <f t="shared" si="6"/>
        <v>108.5004808128576</v>
      </c>
      <c r="H59" s="4"/>
      <c r="I59" s="13"/>
    </row>
    <row r="60" spans="1:9">
      <c r="A60" s="13">
        <v>57</v>
      </c>
      <c r="B60" s="19">
        <f t="shared" si="3"/>
        <v>198.6144585822758</v>
      </c>
      <c r="C60" s="19">
        <f t="shared" si="0"/>
        <v>8.5006988273214059</v>
      </c>
      <c r="D60" s="20">
        <f t="shared" si="1"/>
        <v>10.625873534151756</v>
      </c>
      <c r="E60" s="17">
        <f t="shared" si="6"/>
        <v>23.376921775133866</v>
      </c>
      <c r="F60" s="17">
        <f t="shared" si="6"/>
        <v>51.42922790529451</v>
      </c>
      <c r="G60" s="17">
        <f t="shared" si="6"/>
        <v>113.14430139164793</v>
      </c>
      <c r="H60" s="4"/>
      <c r="I60" s="13"/>
    </row>
    <row r="61" spans="1:9">
      <c r="A61" s="13">
        <v>58</v>
      </c>
      <c r="B61" s="19">
        <f t="shared" si="3"/>
        <v>207.1151574095972</v>
      </c>
      <c r="C61" s="19">
        <f t="shared" si="0"/>
        <v>8.8645287371307599</v>
      </c>
      <c r="D61" s="20">
        <f t="shared" si="1"/>
        <v>11.08066092141345</v>
      </c>
      <c r="E61" s="17">
        <f t="shared" si="6"/>
        <v>24.377454027109593</v>
      </c>
      <c r="F61" s="17">
        <f t="shared" si="6"/>
        <v>53.630398859641112</v>
      </c>
      <c r="G61" s="17">
        <f t="shared" si="6"/>
        <v>117.98687749121045</v>
      </c>
      <c r="H61" s="4"/>
      <c r="I61" s="13"/>
    </row>
    <row r="62" spans="1:9">
      <c r="A62" s="13">
        <v>59</v>
      </c>
      <c r="B62" s="19">
        <f t="shared" si="3"/>
        <v>215.97968614672797</v>
      </c>
      <c r="C62" s="19">
        <f t="shared" si="0"/>
        <v>9.243930567079957</v>
      </c>
      <c r="D62" s="20">
        <f t="shared" si="1"/>
        <v>11.554913208849946</v>
      </c>
      <c r="E62" s="17">
        <f t="shared" si="6"/>
        <v>25.420809059469885</v>
      </c>
      <c r="F62" s="17">
        <f t="shared" si="6"/>
        <v>55.925779930833755</v>
      </c>
      <c r="G62" s="17">
        <f t="shared" si="6"/>
        <v>123.03671584783427</v>
      </c>
      <c r="H62" s="4"/>
      <c r="I62" s="13"/>
    </row>
    <row r="63" spans="1:9">
      <c r="A63" s="13">
        <v>60</v>
      </c>
      <c r="B63" s="19">
        <f t="shared" si="3"/>
        <v>225.22361671380793</v>
      </c>
      <c r="C63" s="19">
        <f t="shared" si="0"/>
        <v>9.6395707953509788</v>
      </c>
      <c r="D63" s="20">
        <f t="shared" si="1"/>
        <v>12.049463494188723</v>
      </c>
      <c r="E63" s="17">
        <f t="shared" si="6"/>
        <v>26.508819687215194</v>
      </c>
      <c r="F63" s="17">
        <f t="shared" si="6"/>
        <v>58.31940331187343</v>
      </c>
      <c r="G63" s="17">
        <f t="shared" si="6"/>
        <v>128.30268728612157</v>
      </c>
      <c r="H63" s="4"/>
      <c r="I63" s="13"/>
    </row>
    <row r="64" spans="1:9">
      <c r="A64" s="13">
        <v>61</v>
      </c>
      <c r="B64" s="19">
        <f t="shared" si="3"/>
        <v>234.86318750915891</v>
      </c>
      <c r="C64" s="19">
        <f t="shared" si="0"/>
        <v>10.052144425392001</v>
      </c>
      <c r="D64" s="20">
        <f t="shared" si="1"/>
        <v>12.565180531740001</v>
      </c>
      <c r="E64" s="17">
        <f t="shared" si="6"/>
        <v>27.643397169828006</v>
      </c>
      <c r="F64" s="17">
        <f t="shared" si="6"/>
        <v>60.815473773621619</v>
      </c>
      <c r="G64" s="17">
        <f t="shared" si="6"/>
        <v>133.79404230196758</v>
      </c>
      <c r="H64" s="4"/>
      <c r="I64" s="13"/>
    </row>
    <row r="65" spans="1:9">
      <c r="A65" s="13">
        <v>62</v>
      </c>
      <c r="B65" s="19">
        <f t="shared" si="3"/>
        <v>244.91533193455092</v>
      </c>
      <c r="C65" s="19">
        <f t="shared" si="0"/>
        <v>10.482376206798779</v>
      </c>
      <c r="D65" s="20">
        <f t="shared" si="1"/>
        <v>13.102970258498473</v>
      </c>
      <c r="E65" s="17">
        <f t="shared" si="6"/>
        <v>28.826534568696644</v>
      </c>
      <c r="F65" s="17">
        <f t="shared" si="6"/>
        <v>63.418376051132626</v>
      </c>
      <c r="G65" s="17">
        <f t="shared" si="6"/>
        <v>139.52042731249179</v>
      </c>
      <c r="H65" s="4"/>
      <c r="I65" s="13"/>
    </row>
    <row r="66" spans="1:9">
      <c r="A66" s="13">
        <v>63</v>
      </c>
      <c r="B66" s="19">
        <f t="shared" si="3"/>
        <v>255.39770814134971</v>
      </c>
      <c r="C66" s="19">
        <f t="shared" si="0"/>
        <v>10.931021908449768</v>
      </c>
      <c r="D66" s="20">
        <f t="shared" si="1"/>
        <v>13.663777385562209</v>
      </c>
      <c r="E66" s="17">
        <f t="shared" si="6"/>
        <v>30.060310248236863</v>
      </c>
      <c r="F66" s="17">
        <f t="shared" si="6"/>
        <v>66.132682546121103</v>
      </c>
      <c r="G66" s="17">
        <f t="shared" si="6"/>
        <v>145.49190160146645</v>
      </c>
      <c r="H66" s="4"/>
      <c r="I66" s="13"/>
    </row>
    <row r="67" spans="1:9">
      <c r="A67" s="13">
        <v>64</v>
      </c>
      <c r="B67" s="19">
        <f t="shared" si="3"/>
        <v>266.3287300497995</v>
      </c>
      <c r="C67" s="19">
        <f t="shared" si="0"/>
        <v>11.39886964613142</v>
      </c>
      <c r="D67" s="20">
        <f t="shared" si="1"/>
        <v>14.248587057664274</v>
      </c>
      <c r="E67" s="17">
        <f t="shared" si="6"/>
        <v>31.346891526861405</v>
      </c>
      <c r="F67" s="17">
        <f t="shared" si="6"/>
        <v>68.963161359095096</v>
      </c>
      <c r="G67" s="17">
        <f t="shared" si="6"/>
        <v>151.71895499000922</v>
      </c>
      <c r="H67" s="4"/>
      <c r="I67" s="13"/>
    </row>
    <row r="68" spans="1:9">
      <c r="A68" s="13">
        <v>65</v>
      </c>
      <c r="B68" s="19">
        <f t="shared" si="3"/>
        <v>277.72759969593091</v>
      </c>
      <c r="C68" s="19">
        <f t="shared" si="0"/>
        <v>11.886741266985844</v>
      </c>
      <c r="D68" s="20">
        <f t="shared" si="1"/>
        <v>14.858426583732303</v>
      </c>
      <c r="E68" s="17">
        <f t="shared" si="6"/>
        <v>32.688538484211072</v>
      </c>
      <c r="F68" s="17">
        <f t="shared" si="6"/>
        <v>71.914784665264364</v>
      </c>
      <c r="G68" s="17">
        <f t="shared" si="6"/>
        <v>158.21252626358162</v>
      </c>
      <c r="H68" s="4"/>
      <c r="I68" s="13"/>
    </row>
    <row r="69" spans="1:9">
      <c r="A69" s="13">
        <v>66</v>
      </c>
      <c r="B69" s="19">
        <f t="shared" si="3"/>
        <v>289.61434096291674</v>
      </c>
      <c r="C69" s="19">
        <f t="shared" ref="C69:C132" si="7">D69*C$3</f>
        <v>12.395493793212836</v>
      </c>
      <c r="D69" s="20">
        <f t="shared" ref="D69:D132" si="8">B69*D$3</f>
        <v>15.494367241516045</v>
      </c>
      <c r="E69" s="17">
        <f t="shared" ref="E69:G84" si="9">D69*E$3</f>
        <v>34.087607931335299</v>
      </c>
      <c r="F69" s="17">
        <f t="shared" si="9"/>
        <v>74.99273744893766</v>
      </c>
      <c r="G69" s="17">
        <f t="shared" si="9"/>
        <v>164.98402238766286</v>
      </c>
      <c r="H69" s="4"/>
      <c r="I69" s="13"/>
    </row>
    <row r="70" spans="1:9">
      <c r="A70" s="13">
        <v>67</v>
      </c>
      <c r="B70" s="19">
        <f t="shared" si="3"/>
        <v>302.00983475612958</v>
      </c>
      <c r="C70" s="19">
        <f t="shared" si="7"/>
        <v>12.926020927562346</v>
      </c>
      <c r="D70" s="20">
        <f t="shared" si="8"/>
        <v>16.157526159452932</v>
      </c>
      <c r="E70" s="17">
        <f t="shared" si="9"/>
        <v>35.54655755079645</v>
      </c>
      <c r="F70" s="17">
        <f t="shared" si="9"/>
        <v>78.202426611752202</v>
      </c>
      <c r="G70" s="17">
        <f t="shared" si="9"/>
        <v>172.04533854585486</v>
      </c>
      <c r="H70" s="4"/>
      <c r="I70" s="13"/>
    </row>
    <row r="71" spans="1:9">
      <c r="A71" s="13">
        <v>68</v>
      </c>
      <c r="B71" s="19">
        <f t="shared" si="3"/>
        <v>314.9358556836919</v>
      </c>
      <c r="C71" s="19">
        <f t="shared" si="7"/>
        <v>13.479254623262015</v>
      </c>
      <c r="D71" s="20">
        <f t="shared" si="8"/>
        <v>16.849068279077517</v>
      </c>
      <c r="E71" s="17">
        <f t="shared" si="9"/>
        <v>37.067950213970541</v>
      </c>
      <c r="F71" s="17">
        <f t="shared" si="9"/>
        <v>81.549490470735194</v>
      </c>
      <c r="G71" s="17">
        <f t="shared" si="9"/>
        <v>179.40887903561745</v>
      </c>
      <c r="H71" s="4"/>
      <c r="I71" s="13"/>
    </row>
    <row r="72" spans="1:9">
      <c r="A72" s="13">
        <v>69</v>
      </c>
      <c r="B72" s="19">
        <f t="shared" si="3"/>
        <v>328.41511030695392</v>
      </c>
      <c r="C72" s="19">
        <f t="shared" si="7"/>
        <v>14.056166721137629</v>
      </c>
      <c r="D72" s="20">
        <f t="shared" si="8"/>
        <v>17.570208401422036</v>
      </c>
      <c r="E72" s="17">
        <f t="shared" si="9"/>
        <v>38.654458483128479</v>
      </c>
      <c r="F72" s="17">
        <f t="shared" si="9"/>
        <v>85.039808662882663</v>
      </c>
      <c r="G72" s="17">
        <f t="shared" si="9"/>
        <v>187.08757905834187</v>
      </c>
      <c r="H72" s="4"/>
      <c r="I72" s="13"/>
    </row>
    <row r="73" spans="1:9">
      <c r="A73" s="13">
        <v>70</v>
      </c>
      <c r="B73" s="19">
        <f t="shared" ref="B73:B136" si="10">B72+C72</f>
        <v>342.47127702809155</v>
      </c>
      <c r="C73" s="19">
        <f t="shared" si="7"/>
        <v>14.65777065680232</v>
      </c>
      <c r="D73" s="20">
        <f t="shared" si="8"/>
        <v>18.322213321002899</v>
      </c>
      <c r="E73" s="17">
        <f t="shared" si="9"/>
        <v>40.308869306206383</v>
      </c>
      <c r="F73" s="17">
        <f t="shared" si="9"/>
        <v>88.679512473654043</v>
      </c>
      <c r="G73" s="17">
        <f t="shared" si="9"/>
        <v>195.09492744203891</v>
      </c>
      <c r="H73" s="4"/>
      <c r="I73" s="30">
        <f>B73-B63</f>
        <v>117.24766031428362</v>
      </c>
    </row>
    <row r="74" spans="1:9">
      <c r="A74" s="13">
        <v>71</v>
      </c>
      <c r="B74" s="19">
        <f t="shared" si="10"/>
        <v>357.12904768489386</v>
      </c>
      <c r="C74" s="19">
        <f t="shared" si="7"/>
        <v>15.285123240913459</v>
      </c>
      <c r="D74" s="20">
        <f t="shared" si="8"/>
        <v>19.106404051141823</v>
      </c>
      <c r="E74" s="17">
        <f t="shared" si="9"/>
        <v>42.034088912512011</v>
      </c>
      <c r="F74" s="17">
        <f t="shared" si="9"/>
        <v>92.474995607526438</v>
      </c>
      <c r="G74" s="17">
        <f t="shared" si="9"/>
        <v>203.44499033655819</v>
      </c>
      <c r="H74" s="4"/>
      <c r="I74" s="13"/>
    </row>
    <row r="75" spans="1:9">
      <c r="A75" s="13">
        <v>72</v>
      </c>
      <c r="B75" s="19">
        <f t="shared" si="10"/>
        <v>372.4141709258073</v>
      </c>
      <c r="C75" s="19">
        <f t="shared" si="7"/>
        <v>15.939326515624552</v>
      </c>
      <c r="D75" s="20">
        <f t="shared" si="8"/>
        <v>19.92415814453069</v>
      </c>
      <c r="E75" s="17">
        <f t="shared" si="9"/>
        <v>43.833147917967523</v>
      </c>
      <c r="F75" s="17">
        <f t="shared" si="9"/>
        <v>96.432925419528559</v>
      </c>
      <c r="G75" s="17">
        <f t="shared" si="9"/>
        <v>212.15243592296284</v>
      </c>
      <c r="H75" s="4"/>
      <c r="I75" s="13"/>
    </row>
    <row r="76" spans="1:9">
      <c r="A76" s="13">
        <v>73</v>
      </c>
      <c r="B76" s="19">
        <f t="shared" si="10"/>
        <v>388.35349744143184</v>
      </c>
      <c r="C76" s="19">
        <f t="shared" si="7"/>
        <v>16.621529690493283</v>
      </c>
      <c r="D76" s="20">
        <f t="shared" si="8"/>
        <v>20.776912113116602</v>
      </c>
      <c r="E76" s="17">
        <f t="shared" si="9"/>
        <v>45.709206648856529</v>
      </c>
      <c r="F76" s="17">
        <f t="shared" si="9"/>
        <v>100.56025462748437</v>
      </c>
      <c r="G76" s="17">
        <f t="shared" si="9"/>
        <v>221.23256018046564</v>
      </c>
      <c r="H76" s="4"/>
      <c r="I76" s="13"/>
    </row>
    <row r="77" spans="1:9">
      <c r="A77" s="13">
        <v>74</v>
      </c>
      <c r="B77" s="19">
        <f t="shared" si="10"/>
        <v>404.97502713192512</v>
      </c>
      <c r="C77" s="19">
        <f t="shared" si="7"/>
        <v>17.332931161246396</v>
      </c>
      <c r="D77" s="20">
        <f t="shared" si="8"/>
        <v>21.666163951557994</v>
      </c>
      <c r="E77" s="17">
        <f t="shared" si="9"/>
        <v>47.665560693427594</v>
      </c>
      <c r="F77" s="17">
        <f t="shared" si="9"/>
        <v>104.86423352554071</v>
      </c>
      <c r="G77" s="17">
        <f t="shared" si="9"/>
        <v>230.70131375618959</v>
      </c>
      <c r="H77" s="4"/>
      <c r="I77" s="13"/>
    </row>
    <row r="78" spans="1:9">
      <c r="A78" s="13">
        <v>75</v>
      </c>
      <c r="B78" s="19">
        <f t="shared" si="10"/>
        <v>422.30795829317151</v>
      </c>
      <c r="C78" s="19">
        <f t="shared" si="7"/>
        <v>18.074780614947741</v>
      </c>
      <c r="D78" s="20">
        <f t="shared" si="8"/>
        <v>22.593475768684677</v>
      </c>
      <c r="E78" s="17">
        <f t="shared" si="9"/>
        <v>49.705646691106296</v>
      </c>
      <c r="F78" s="17">
        <f t="shared" si="9"/>
        <v>109.35242272043386</v>
      </c>
      <c r="G78" s="17">
        <f t="shared" si="9"/>
        <v>240.57532998495452</v>
      </c>
      <c r="H78" s="4"/>
      <c r="I78" s="13"/>
    </row>
    <row r="79" spans="1:9">
      <c r="A79" s="13">
        <v>76</v>
      </c>
      <c r="B79" s="19">
        <f t="shared" si="10"/>
        <v>440.38273890811922</v>
      </c>
      <c r="C79" s="19">
        <f t="shared" si="7"/>
        <v>18.848381225267502</v>
      </c>
      <c r="D79" s="20">
        <f t="shared" si="8"/>
        <v>23.560476531584378</v>
      </c>
      <c r="E79" s="17">
        <f t="shared" si="9"/>
        <v>51.833048369485638</v>
      </c>
      <c r="F79" s="17">
        <f t="shared" si="9"/>
        <v>114.03270641286841</v>
      </c>
      <c r="G79" s="17">
        <f t="shared" si="9"/>
        <v>250.87195410831052</v>
      </c>
      <c r="H79" s="4"/>
      <c r="I79" s="13"/>
    </row>
    <row r="80" spans="1:9">
      <c r="A80" s="13">
        <v>77</v>
      </c>
      <c r="B80" s="19">
        <f t="shared" si="10"/>
        <v>459.23112013338675</v>
      </c>
      <c r="C80" s="19">
        <f t="shared" si="7"/>
        <v>19.655091941708953</v>
      </c>
      <c r="D80" s="20">
        <f t="shared" si="8"/>
        <v>24.56886492713619</v>
      </c>
      <c r="E80" s="17">
        <f t="shared" si="9"/>
        <v>54.051502839699623</v>
      </c>
      <c r="F80" s="17">
        <f t="shared" si="9"/>
        <v>118.91330624733918</v>
      </c>
      <c r="G80" s="17">
        <f t="shared" si="9"/>
        <v>261.60927374414621</v>
      </c>
      <c r="H80" s="4"/>
      <c r="I80" s="13"/>
    </row>
    <row r="81" spans="1:9">
      <c r="A81" s="13">
        <v>78</v>
      </c>
      <c r="B81" s="31">
        <f t="shared" si="10"/>
        <v>478.88621207509573</v>
      </c>
      <c r="C81" s="31">
        <f t="shared" si="7"/>
        <v>20.496329876814098</v>
      </c>
      <c r="D81" s="32">
        <f t="shared" si="8"/>
        <v>25.62041234601762</v>
      </c>
      <c r="E81" s="33">
        <f t="shared" si="9"/>
        <v>56.364907161238769</v>
      </c>
      <c r="F81" s="33">
        <f t="shared" si="9"/>
        <v>124.0027957547253</v>
      </c>
      <c r="G81" s="33">
        <f t="shared" si="9"/>
        <v>272.8061506603957</v>
      </c>
      <c r="H81" s="34"/>
      <c r="I81" s="13"/>
    </row>
    <row r="82" spans="1:9">
      <c r="A82" s="13">
        <v>79</v>
      </c>
      <c r="B82" s="19">
        <f t="shared" si="10"/>
        <v>499.38254195190984</v>
      </c>
      <c r="C82" s="19">
        <f t="shared" si="7"/>
        <v>21.373572795541744</v>
      </c>
      <c r="D82" s="20">
        <f t="shared" si="8"/>
        <v>26.716965994427177</v>
      </c>
      <c r="E82" s="17">
        <f t="shared" si="9"/>
        <v>58.777325187739791</v>
      </c>
      <c r="F82" s="17">
        <f t="shared" si="9"/>
        <v>129.31011541302755</v>
      </c>
      <c r="G82" s="17">
        <f t="shared" si="9"/>
        <v>284.48225390866065</v>
      </c>
      <c r="H82" s="4"/>
      <c r="I82" s="13"/>
    </row>
    <row r="83" spans="1:9">
      <c r="A83" s="13">
        <v>80</v>
      </c>
      <c r="B83" s="19">
        <f t="shared" si="10"/>
        <v>520.75611474745153</v>
      </c>
      <c r="C83" s="19">
        <f t="shared" si="7"/>
        <v>22.288361711190927</v>
      </c>
      <c r="D83" s="20">
        <f t="shared" si="8"/>
        <v>27.860452138988656</v>
      </c>
      <c r="E83" s="17">
        <f t="shared" si="9"/>
        <v>61.292994705775044</v>
      </c>
      <c r="F83" s="17">
        <f t="shared" si="9"/>
        <v>134.8445883527051</v>
      </c>
      <c r="G83" s="17">
        <f t="shared" si="9"/>
        <v>296.65809437595124</v>
      </c>
      <c r="H83" s="4"/>
      <c r="I83" s="13"/>
    </row>
    <row r="84" spans="1:9">
      <c r="A84" s="13">
        <v>81</v>
      </c>
      <c r="B84" s="19">
        <f t="shared" si="10"/>
        <v>543.04447645864241</v>
      </c>
      <c r="C84" s="19">
        <f t="shared" si="7"/>
        <v>23.242303592429895</v>
      </c>
      <c r="D84" s="20">
        <f t="shared" si="8"/>
        <v>29.052879490537368</v>
      </c>
      <c r="E84" s="17">
        <f t="shared" si="9"/>
        <v>63.916334879182216</v>
      </c>
      <c r="F84" s="17">
        <f t="shared" si="9"/>
        <v>140.61593673420089</v>
      </c>
      <c r="G84" s="17">
        <f t="shared" si="9"/>
        <v>309.35506081524198</v>
      </c>
      <c r="H84" s="4"/>
      <c r="I84" s="13"/>
    </row>
    <row r="85" spans="1:9">
      <c r="A85" s="13">
        <v>82</v>
      </c>
      <c r="B85" s="19">
        <f t="shared" si="10"/>
        <v>566.28678005107236</v>
      </c>
      <c r="C85" s="19">
        <f t="shared" si="7"/>
        <v>24.237074186185897</v>
      </c>
      <c r="D85" s="20">
        <f t="shared" si="8"/>
        <v>30.29634273273237</v>
      </c>
      <c r="E85" s="17">
        <f t="shared" ref="E85:G100" si="11">D85*E$3</f>
        <v>66.651954012011217</v>
      </c>
      <c r="F85" s="17">
        <f t="shared" si="11"/>
        <v>146.6342988264247</v>
      </c>
      <c r="G85" s="17">
        <f t="shared" si="11"/>
        <v>322.59545741813434</v>
      </c>
      <c r="H85" s="4"/>
      <c r="I85" s="13"/>
    </row>
    <row r="86" spans="1:9">
      <c r="A86" s="13">
        <v>83</v>
      </c>
      <c r="B86" s="19">
        <f t="shared" si="10"/>
        <v>590.52385423725821</v>
      </c>
      <c r="C86" s="19">
        <f t="shared" si="7"/>
        <v>25.27442096135465</v>
      </c>
      <c r="D86" s="20">
        <f t="shared" si="8"/>
        <v>31.593026201693313</v>
      </c>
      <c r="E86" s="17">
        <f t="shared" si="11"/>
        <v>69.504657643725295</v>
      </c>
      <c r="F86" s="17">
        <f t="shared" si="11"/>
        <v>152.91024681619567</v>
      </c>
      <c r="G86" s="17">
        <f t="shared" si="11"/>
        <v>336.40254299563048</v>
      </c>
      <c r="H86" s="4"/>
      <c r="I86" s="13"/>
    </row>
    <row r="87" spans="1:9">
      <c r="A87" s="13">
        <v>84</v>
      </c>
      <c r="B87" s="19">
        <f t="shared" si="10"/>
        <v>615.79827519861283</v>
      </c>
      <c r="C87" s="19">
        <f t="shared" si="7"/>
        <v>26.356166178500629</v>
      </c>
      <c r="D87" s="20">
        <f t="shared" si="8"/>
        <v>32.945207723125783</v>
      </c>
      <c r="E87" s="17">
        <f t="shared" si="11"/>
        <v>72.479456990876727</v>
      </c>
      <c r="F87" s="17">
        <f t="shared" si="11"/>
        <v>159.45480537992881</v>
      </c>
      <c r="G87" s="17">
        <f t="shared" si="11"/>
        <v>350.80057183584341</v>
      </c>
      <c r="H87" s="4"/>
      <c r="I87" s="13"/>
    </row>
    <row r="88" spans="1:9">
      <c r="A88" s="13">
        <v>85</v>
      </c>
      <c r="B88" s="19">
        <f t="shared" si="10"/>
        <v>642.15444137711347</v>
      </c>
      <c r="C88" s="19">
        <f t="shared" si="7"/>
        <v>27.484210090940458</v>
      </c>
      <c r="D88" s="20">
        <f t="shared" si="8"/>
        <v>34.355262613675571</v>
      </c>
      <c r="E88" s="17">
        <f t="shared" si="11"/>
        <v>75.581577750086268</v>
      </c>
      <c r="F88" s="17">
        <f t="shared" si="11"/>
        <v>166.27947105018981</v>
      </c>
      <c r="G88" s="17">
        <f t="shared" si="11"/>
        <v>365.8148363104176</v>
      </c>
      <c r="H88" s="4"/>
      <c r="I88" s="13"/>
    </row>
    <row r="89" spans="1:9">
      <c r="A89" s="13">
        <v>86</v>
      </c>
      <c r="B89" s="19">
        <f t="shared" si="10"/>
        <v>669.63865146805392</v>
      </c>
      <c r="C89" s="19">
        <f t="shared" si="7"/>
        <v>28.66053428283271</v>
      </c>
      <c r="D89" s="20">
        <f t="shared" si="8"/>
        <v>35.825667853540885</v>
      </c>
      <c r="E89" s="17">
        <f t="shared" si="11"/>
        <v>78.816469277789949</v>
      </c>
      <c r="F89" s="17">
        <f t="shared" si="11"/>
        <v>173.3962324111379</v>
      </c>
      <c r="G89" s="17">
        <f t="shared" si="11"/>
        <v>381.4717113045034</v>
      </c>
      <c r="H89" s="4"/>
      <c r="I89" s="13"/>
    </row>
    <row r="90" spans="1:9">
      <c r="A90" s="13">
        <v>87</v>
      </c>
      <c r="B90" s="35">
        <f t="shared" si="10"/>
        <v>698.29918575088664</v>
      </c>
      <c r="C90" s="35">
        <f t="shared" si="7"/>
        <v>29.887205150137948</v>
      </c>
      <c r="D90" s="36">
        <f t="shared" si="8"/>
        <v>37.359006437672434</v>
      </c>
      <c r="E90" s="37">
        <f t="shared" si="11"/>
        <v>82.189814162879358</v>
      </c>
      <c r="F90" s="37">
        <f t="shared" si="11"/>
        <v>180.81759115833461</v>
      </c>
      <c r="G90" s="37">
        <f t="shared" si="11"/>
        <v>397.79870054833617</v>
      </c>
      <c r="H90" s="38"/>
      <c r="I90" s="13"/>
    </row>
    <row r="91" spans="1:9">
      <c r="A91" s="13">
        <v>88</v>
      </c>
      <c r="B91" s="19">
        <f t="shared" si="10"/>
        <v>728.18639090102454</v>
      </c>
      <c r="C91" s="19">
        <f t="shared" si="7"/>
        <v>31.166377530563853</v>
      </c>
      <c r="D91" s="20">
        <f t="shared" si="8"/>
        <v>38.957971913204815</v>
      </c>
      <c r="E91" s="17">
        <f t="shared" si="11"/>
        <v>85.707538209050597</v>
      </c>
      <c r="F91" s="17">
        <f t="shared" si="11"/>
        <v>188.55658405991133</v>
      </c>
      <c r="G91" s="17">
        <f t="shared" si="11"/>
        <v>414.82448493180493</v>
      </c>
      <c r="H91" s="4"/>
      <c r="I91" s="13"/>
    </row>
    <row r="92" spans="1:9">
      <c r="A92" s="13">
        <v>89</v>
      </c>
      <c r="B92" s="19">
        <f t="shared" si="10"/>
        <v>759.3527684315884</v>
      </c>
      <c r="C92" s="19">
        <f t="shared" si="7"/>
        <v>32.500298488871984</v>
      </c>
      <c r="D92" s="20">
        <f t="shared" si="8"/>
        <v>40.625373111089978</v>
      </c>
      <c r="E92" s="17">
        <f t="shared" si="11"/>
        <v>89.375820844397964</v>
      </c>
      <c r="F92" s="17">
        <f t="shared" si="11"/>
        <v>196.62680585767555</v>
      </c>
      <c r="G92" s="17">
        <f t="shared" si="11"/>
        <v>432.57897288688622</v>
      </c>
      <c r="H92" s="4"/>
      <c r="I92" s="13"/>
    </row>
    <row r="93" spans="1:9">
      <c r="A93" s="13">
        <v>90</v>
      </c>
      <c r="B93" s="19">
        <f t="shared" si="10"/>
        <v>791.85306692046038</v>
      </c>
      <c r="C93" s="19">
        <f t="shared" si="7"/>
        <v>33.8913112641957</v>
      </c>
      <c r="D93" s="20">
        <f t="shared" si="8"/>
        <v>42.364139080244627</v>
      </c>
      <c r="E93" s="17">
        <f t="shared" si="11"/>
        <v>93.201105976538187</v>
      </c>
      <c r="F93" s="17">
        <f t="shared" si="11"/>
        <v>205.04243314838402</v>
      </c>
      <c r="G93" s="17">
        <f t="shared" si="11"/>
        <v>451.09335292644488</v>
      </c>
      <c r="H93" s="4"/>
      <c r="I93" s="13"/>
    </row>
    <row r="94" spans="1:9">
      <c r="A94" s="13">
        <v>91</v>
      </c>
      <c r="B94" s="19">
        <f t="shared" si="10"/>
        <v>825.74437818465606</v>
      </c>
      <c r="C94" s="19">
        <f t="shared" si="7"/>
        <v>35.341859386303284</v>
      </c>
      <c r="D94" s="20">
        <f t="shared" si="8"/>
        <v>44.177324232879101</v>
      </c>
      <c r="E94" s="17">
        <f t="shared" si="11"/>
        <v>97.190113312334034</v>
      </c>
      <c r="F94" s="17">
        <f t="shared" si="11"/>
        <v>213.8182492871349</v>
      </c>
      <c r="G94" s="17">
        <f t="shared" si="11"/>
        <v>470.40014843169683</v>
      </c>
      <c r="H94" s="4"/>
      <c r="I94" s="13"/>
    </row>
    <row r="95" spans="1:9">
      <c r="A95" s="13">
        <v>92</v>
      </c>
      <c r="B95" s="19">
        <f t="shared" si="10"/>
        <v>861.08623757095938</v>
      </c>
      <c r="C95" s="19">
        <f t="shared" si="7"/>
        <v>36.854490968037062</v>
      </c>
      <c r="D95" s="20">
        <f t="shared" si="8"/>
        <v>46.068113710046326</v>
      </c>
      <c r="E95" s="17">
        <f t="shared" si="11"/>
        <v>101.34985016210193</v>
      </c>
      <c r="F95" s="17">
        <f t="shared" si="11"/>
        <v>222.96967035662428</v>
      </c>
      <c r="G95" s="17">
        <f t="shared" si="11"/>
        <v>490.53327478457345</v>
      </c>
      <c r="H95" s="4"/>
      <c r="I95" s="13"/>
    </row>
    <row r="96" spans="1:9">
      <c r="A96" s="13">
        <v>93</v>
      </c>
      <c r="B96" s="19">
        <f t="shared" si="10"/>
        <v>897.9407285389965</v>
      </c>
      <c r="C96" s="19">
        <f t="shared" si="7"/>
        <v>38.431863181469055</v>
      </c>
      <c r="D96" s="20">
        <f t="shared" si="8"/>
        <v>48.039828976836311</v>
      </c>
      <c r="E96" s="17">
        <f t="shared" si="11"/>
        <v>105.6876237490399</v>
      </c>
      <c r="F96" s="17">
        <f t="shared" si="11"/>
        <v>232.5127722478878</v>
      </c>
      <c r="G96" s="17">
        <f t="shared" si="11"/>
        <v>511.52809894535318</v>
      </c>
      <c r="H96" s="4"/>
      <c r="I96" s="13"/>
    </row>
    <row r="97" spans="1:11">
      <c r="A97" s="13">
        <v>94</v>
      </c>
      <c r="B97" s="19">
        <f t="shared" si="10"/>
        <v>936.37259172046561</v>
      </c>
      <c r="C97" s="19">
        <f t="shared" si="7"/>
        <v>40.076746925635931</v>
      </c>
      <c r="D97" s="20">
        <f t="shared" si="8"/>
        <v>50.09593365704491</v>
      </c>
      <c r="E97" s="17">
        <f t="shared" si="11"/>
        <v>110.21105404549881</v>
      </c>
      <c r="F97" s="17">
        <f t="shared" si="11"/>
        <v>242.4643189000974</v>
      </c>
      <c r="G97" s="17">
        <f t="shared" si="11"/>
        <v>533.42150158021434</v>
      </c>
      <c r="H97" s="4"/>
      <c r="I97" s="13"/>
    </row>
    <row r="98" spans="1:11">
      <c r="A98" s="13">
        <v>95</v>
      </c>
      <c r="B98" s="19">
        <f t="shared" si="10"/>
        <v>976.44933864610152</v>
      </c>
      <c r="C98" s="19">
        <f t="shared" si="7"/>
        <v>41.792031694053151</v>
      </c>
      <c r="D98" s="20">
        <f t="shared" si="8"/>
        <v>52.240039617566431</v>
      </c>
      <c r="E98" s="17">
        <f t="shared" si="11"/>
        <v>114.92808715864616</v>
      </c>
      <c r="F98" s="17">
        <f t="shared" si="11"/>
        <v>252.84179174902158</v>
      </c>
      <c r="G98" s="17">
        <f t="shared" si="11"/>
        <v>556.25194184784755</v>
      </c>
      <c r="H98" s="4"/>
      <c r="I98" s="13"/>
    </row>
    <row r="99" spans="1:11">
      <c r="A99" s="13">
        <v>96</v>
      </c>
      <c r="B99" s="19">
        <f t="shared" si="10"/>
        <v>1018.2413703401546</v>
      </c>
      <c r="C99" s="19">
        <f t="shared" si="7"/>
        <v>43.580730650558621</v>
      </c>
      <c r="D99" s="20">
        <f t="shared" si="8"/>
        <v>54.475913313198269</v>
      </c>
      <c r="E99" s="17">
        <f t="shared" si="11"/>
        <v>119.84700928903621</v>
      </c>
      <c r="F99" s="17">
        <f t="shared" si="11"/>
        <v>263.66342043587969</v>
      </c>
      <c r="G99" s="17">
        <f t="shared" si="11"/>
        <v>580.05952495893541</v>
      </c>
      <c r="H99" s="4"/>
      <c r="I99" s="13"/>
    </row>
    <row r="100" spans="1:11">
      <c r="A100" s="13">
        <v>97</v>
      </c>
      <c r="B100" s="19">
        <f t="shared" si="10"/>
        <v>1061.8221009907134</v>
      </c>
      <c r="C100" s="19">
        <f t="shared" si="7"/>
        <v>45.445985922402535</v>
      </c>
      <c r="D100" s="20">
        <f t="shared" si="8"/>
        <v>56.807482403003164</v>
      </c>
      <c r="E100" s="17">
        <f t="shared" si="11"/>
        <v>124.97646128660698</v>
      </c>
      <c r="F100" s="17">
        <f t="shared" si="11"/>
        <v>274.94821483053539</v>
      </c>
      <c r="G100" s="17">
        <f t="shared" si="11"/>
        <v>604.8860726271779</v>
      </c>
      <c r="H100" s="4"/>
      <c r="I100" s="13"/>
    </row>
    <row r="101" spans="1:11">
      <c r="A101" s="13">
        <v>98</v>
      </c>
      <c r="B101" s="19">
        <f t="shared" si="10"/>
        <v>1107.2680869131159</v>
      </c>
      <c r="C101" s="19">
        <f t="shared" si="7"/>
        <v>47.39107411988136</v>
      </c>
      <c r="D101" s="20">
        <f t="shared" si="8"/>
        <v>59.238842649851698</v>
      </c>
      <c r="E101" s="17">
        <f t="shared" ref="E101:G116" si="12">D101*E$3</f>
        <v>130.32545382967373</v>
      </c>
      <c r="F101" s="17">
        <f t="shared" si="12"/>
        <v>286.71599842528224</v>
      </c>
      <c r="G101" s="17">
        <f t="shared" si="12"/>
        <v>630.77519653562092</v>
      </c>
      <c r="H101" s="4"/>
      <c r="I101" s="13"/>
    </row>
    <row r="102" spans="1:11">
      <c r="A102" s="13">
        <v>99</v>
      </c>
      <c r="B102" s="19">
        <f t="shared" si="10"/>
        <v>1154.6591610329972</v>
      </c>
      <c r="C102" s="19">
        <f t="shared" si="7"/>
        <v>49.419412092212283</v>
      </c>
      <c r="D102" s="20">
        <f t="shared" si="8"/>
        <v>61.774265115265351</v>
      </c>
      <c r="E102" s="17">
        <f t="shared" si="12"/>
        <v>135.90338325358377</v>
      </c>
      <c r="F102" s="17">
        <f t="shared" si="12"/>
        <v>298.98744315788434</v>
      </c>
      <c r="G102" s="17">
        <f t="shared" si="12"/>
        <v>657.77237494734561</v>
      </c>
      <c r="H102" s="4"/>
      <c r="I102" s="13"/>
    </row>
    <row r="103" spans="1:11">
      <c r="A103" s="39">
        <v>100</v>
      </c>
      <c r="B103" s="31">
        <f t="shared" si="10"/>
        <v>1204.0785731252095</v>
      </c>
      <c r="C103" s="31">
        <f t="shared" si="7"/>
        <v>51.53456292975897</v>
      </c>
      <c r="D103" s="32">
        <f t="shared" si="8"/>
        <v>64.418203662198707</v>
      </c>
      <c r="E103" s="33">
        <f t="shared" si="12"/>
        <v>141.72004805683716</v>
      </c>
      <c r="F103" s="33">
        <f t="shared" si="12"/>
        <v>311.7841057250418</v>
      </c>
      <c r="G103" s="33">
        <f t="shared" si="12"/>
        <v>685.92503259509203</v>
      </c>
      <c r="H103" s="4"/>
      <c r="I103" s="13"/>
      <c r="J103">
        <v>5000</v>
      </c>
      <c r="K103" s="40">
        <f>J103*16900</f>
        <v>84500000</v>
      </c>
    </row>
    <row r="104" spans="1:11">
      <c r="A104" s="13">
        <v>101</v>
      </c>
      <c r="B104" s="19">
        <f t="shared" si="10"/>
        <v>1255.6131360549684</v>
      </c>
      <c r="C104" s="19">
        <f t="shared" si="7"/>
        <v>53.740242223152649</v>
      </c>
      <c r="D104" s="20">
        <f t="shared" si="8"/>
        <v>67.175302778940804</v>
      </c>
      <c r="E104" s="17">
        <f t="shared" si="12"/>
        <v>147.78566611366978</v>
      </c>
      <c r="F104" s="17">
        <f t="shared" si="12"/>
        <v>325.12846545007352</v>
      </c>
      <c r="G104" s="17">
        <f t="shared" si="12"/>
        <v>715.28262399016182</v>
      </c>
      <c r="H104" s="4"/>
      <c r="I104" s="13"/>
    </row>
    <row r="105" spans="1:11">
      <c r="A105" s="13">
        <v>102</v>
      </c>
      <c r="B105" s="19">
        <f t="shared" si="10"/>
        <v>1309.353378278121</v>
      </c>
      <c r="C105" s="19">
        <f t="shared" si="7"/>
        <v>56.040324590303584</v>
      </c>
      <c r="D105" s="20">
        <f t="shared" si="8"/>
        <v>70.050405737879473</v>
      </c>
      <c r="E105" s="17">
        <f t="shared" si="12"/>
        <v>154.11089262333485</v>
      </c>
      <c r="F105" s="17">
        <f t="shared" si="12"/>
        <v>339.04396377133668</v>
      </c>
      <c r="G105" s="17">
        <f t="shared" si="12"/>
        <v>745.89672029694077</v>
      </c>
      <c r="H105" s="4"/>
      <c r="I105" s="13"/>
    </row>
    <row r="106" spans="1:11">
      <c r="A106" s="13">
        <v>103</v>
      </c>
      <c r="B106" s="19">
        <f t="shared" si="10"/>
        <v>1365.3937028684245</v>
      </c>
      <c r="C106" s="19">
        <f t="shared" si="7"/>
        <v>58.438850482768572</v>
      </c>
      <c r="D106" s="20">
        <f t="shared" si="8"/>
        <v>73.048563103460708</v>
      </c>
      <c r="E106" s="17">
        <f t="shared" si="12"/>
        <v>160.70683882761358</v>
      </c>
      <c r="F106" s="17">
        <f t="shared" si="12"/>
        <v>353.55504542074993</v>
      </c>
      <c r="G106" s="17">
        <f t="shared" si="12"/>
        <v>777.82109992564995</v>
      </c>
      <c r="H106" s="4"/>
      <c r="I106" s="13"/>
    </row>
    <row r="107" spans="1:11">
      <c r="A107" s="13">
        <v>104</v>
      </c>
      <c r="B107" s="19">
        <f t="shared" si="10"/>
        <v>1423.8325533511932</v>
      </c>
      <c r="C107" s="19">
        <f t="shared" si="7"/>
        <v>60.94003328343107</v>
      </c>
      <c r="D107" s="20">
        <f t="shared" si="8"/>
        <v>76.175041604288836</v>
      </c>
      <c r="E107" s="17">
        <f t="shared" si="12"/>
        <v>167.58509152943546</v>
      </c>
      <c r="F107" s="17">
        <f t="shared" si="12"/>
        <v>368.68720136475804</v>
      </c>
      <c r="G107" s="17">
        <f t="shared" si="12"/>
        <v>811.11184300246771</v>
      </c>
      <c r="H107" s="4"/>
      <c r="I107" s="13"/>
    </row>
    <row r="108" spans="1:11">
      <c r="A108" s="13">
        <v>105</v>
      </c>
      <c r="B108" s="19">
        <f t="shared" si="10"/>
        <v>1484.7725866346243</v>
      </c>
      <c r="C108" s="19">
        <f t="shared" si="7"/>
        <v>63.548266707961922</v>
      </c>
      <c r="D108" s="20">
        <f t="shared" si="8"/>
        <v>79.435333384952401</v>
      </c>
      <c r="E108" s="17">
        <f t="shared" si="12"/>
        <v>174.75773344689529</v>
      </c>
      <c r="F108" s="17">
        <f t="shared" si="12"/>
        <v>384.46701358316966</v>
      </c>
      <c r="G108" s="17">
        <f t="shared" si="12"/>
        <v>845.82742988297332</v>
      </c>
      <c r="H108" s="4"/>
      <c r="I108" s="41">
        <f>B108</f>
        <v>1484.7725866346243</v>
      </c>
    </row>
    <row r="109" spans="1:11">
      <c r="A109" s="13">
        <v>106</v>
      </c>
      <c r="B109" s="19">
        <f t="shared" si="10"/>
        <v>1548.3208533425861</v>
      </c>
      <c r="C109" s="19">
        <f t="shared" si="7"/>
        <v>66.26813252306269</v>
      </c>
      <c r="D109" s="20">
        <f t="shared" si="8"/>
        <v>82.835165653828355</v>
      </c>
      <c r="E109" s="17">
        <f t="shared" si="12"/>
        <v>182.23736443842239</v>
      </c>
      <c r="F109" s="17">
        <f t="shared" si="12"/>
        <v>400.92220176452929</v>
      </c>
      <c r="G109" s="17">
        <f t="shared" si="12"/>
        <v>882.02884388196446</v>
      </c>
      <c r="H109" s="4"/>
      <c r="I109" s="13"/>
    </row>
    <row r="110" spans="1:11">
      <c r="A110" s="13">
        <v>107</v>
      </c>
      <c r="B110" s="19">
        <f t="shared" si="10"/>
        <v>1614.5889858656487</v>
      </c>
      <c r="C110" s="19">
        <f t="shared" si="7"/>
        <v>69.104408595049776</v>
      </c>
      <c r="D110" s="20">
        <f t="shared" si="8"/>
        <v>86.380510743812209</v>
      </c>
      <c r="E110" s="17">
        <f t="shared" si="12"/>
        <v>190.03712363638687</v>
      </c>
      <c r="F110" s="17">
        <f t="shared" si="12"/>
        <v>418.08167200005113</v>
      </c>
      <c r="G110" s="17">
        <f t="shared" si="12"/>
        <v>919.77967840011252</v>
      </c>
      <c r="H110" s="4"/>
      <c r="I110" s="13"/>
    </row>
    <row r="111" spans="1:11">
      <c r="A111" s="13">
        <v>108</v>
      </c>
      <c r="B111" s="19">
        <f t="shared" si="10"/>
        <v>1683.6933944606985</v>
      </c>
      <c r="C111" s="19">
        <f t="shared" si="7"/>
        <v>72.062077282917897</v>
      </c>
      <c r="D111" s="20">
        <f t="shared" si="8"/>
        <v>90.077596603647365</v>
      </c>
      <c r="E111" s="17">
        <f t="shared" si="12"/>
        <v>198.17071252802421</v>
      </c>
      <c r="F111" s="17">
        <f t="shared" si="12"/>
        <v>435.97556756165329</v>
      </c>
      <c r="G111" s="17">
        <f t="shared" si="12"/>
        <v>959.14624863563733</v>
      </c>
      <c r="H111" s="4"/>
      <c r="I111" s="13"/>
    </row>
    <row r="112" spans="1:11">
      <c r="A112" s="13">
        <v>109</v>
      </c>
      <c r="B112" s="19">
        <f t="shared" si="10"/>
        <v>1755.7554717436165</v>
      </c>
      <c r="C112" s="19">
        <f t="shared" si="7"/>
        <v>75.146334190626789</v>
      </c>
      <c r="D112" s="20">
        <f t="shared" si="8"/>
        <v>93.932917738283479</v>
      </c>
      <c r="E112" s="17">
        <f t="shared" si="12"/>
        <v>206.65241902422366</v>
      </c>
      <c r="F112" s="17">
        <f t="shared" si="12"/>
        <v>454.63532185329211</v>
      </c>
      <c r="G112" s="17">
        <f t="shared" si="12"/>
        <v>1000.1977080772427</v>
      </c>
      <c r="H112" s="4"/>
      <c r="I112" s="13"/>
    </row>
    <row r="113" spans="1:11">
      <c r="A113" s="13">
        <v>110</v>
      </c>
      <c r="B113" s="19">
        <f t="shared" si="10"/>
        <v>1830.9018059342432</v>
      </c>
      <c r="C113" s="19">
        <f t="shared" si="7"/>
        <v>78.362597293985615</v>
      </c>
      <c r="D113" s="20">
        <f t="shared" si="8"/>
        <v>97.953246617482009</v>
      </c>
      <c r="E113" s="17">
        <f t="shared" si="12"/>
        <v>215.49714255846044</v>
      </c>
      <c r="F113" s="17">
        <f t="shared" si="12"/>
        <v>474.09371362861299</v>
      </c>
      <c r="G113" s="17">
        <f t="shared" si="12"/>
        <v>1043.0061699829487</v>
      </c>
      <c r="H113" s="4"/>
      <c r="I113" s="13"/>
    </row>
    <row r="114" spans="1:11">
      <c r="A114" s="13">
        <v>111</v>
      </c>
      <c r="B114" s="19">
        <f t="shared" si="10"/>
        <v>1909.2644032282287</v>
      </c>
      <c r="C114" s="19">
        <f t="shared" si="7"/>
        <v>81.716516458168201</v>
      </c>
      <c r="D114" s="20">
        <f t="shared" si="8"/>
        <v>102.14564557271024</v>
      </c>
      <c r="E114" s="17">
        <f t="shared" si="12"/>
        <v>224.72042025996254</v>
      </c>
      <c r="F114" s="17">
        <f t="shared" si="12"/>
        <v>494.38492457191762</v>
      </c>
      <c r="G114" s="17">
        <f t="shared" si="12"/>
        <v>1087.6468340582189</v>
      </c>
      <c r="H114" s="4"/>
      <c r="I114" s="13"/>
    </row>
    <row r="115" spans="1:11">
      <c r="A115" s="13">
        <v>112</v>
      </c>
      <c r="B115" s="19">
        <f t="shared" si="10"/>
        <v>1990.9809196863969</v>
      </c>
      <c r="C115" s="19">
        <f t="shared" si="7"/>
        <v>85.213983362577792</v>
      </c>
      <c r="D115" s="20">
        <f t="shared" si="8"/>
        <v>106.51747920322224</v>
      </c>
      <c r="E115" s="17">
        <f t="shared" si="12"/>
        <v>234.33845424708895</v>
      </c>
      <c r="F115" s="17">
        <f t="shared" si="12"/>
        <v>515.54459934359568</v>
      </c>
      <c r="G115" s="17">
        <f t="shared" si="12"/>
        <v>1134.1981185559107</v>
      </c>
      <c r="H115" s="4"/>
      <c r="I115" s="13"/>
    </row>
    <row r="116" spans="1:11">
      <c r="A116" s="13">
        <v>113</v>
      </c>
      <c r="B116" s="19">
        <f t="shared" si="10"/>
        <v>2076.1949030489745</v>
      </c>
      <c r="C116" s="19">
        <f t="shared" si="7"/>
        <v>88.861141850496111</v>
      </c>
      <c r="D116" s="20">
        <f t="shared" si="8"/>
        <v>111.07642731312013</v>
      </c>
      <c r="E116" s="17">
        <f t="shared" si="12"/>
        <v>244.36814008886432</v>
      </c>
      <c r="F116" s="17">
        <f t="shared" si="12"/>
        <v>537.60990819550159</v>
      </c>
      <c r="G116" s="17">
        <f t="shared" si="12"/>
        <v>1182.7417980301036</v>
      </c>
      <c r="H116" s="4"/>
      <c r="I116" s="13"/>
    </row>
    <row r="117" spans="1:11">
      <c r="A117" s="13">
        <v>114</v>
      </c>
      <c r="B117" s="19">
        <f t="shared" si="10"/>
        <v>2165.0560448994706</v>
      </c>
      <c r="C117" s="19">
        <f t="shared" si="7"/>
        <v>92.664398721697353</v>
      </c>
      <c r="D117" s="20">
        <f t="shared" si="8"/>
        <v>115.83049840212168</v>
      </c>
      <c r="E117" s="17">
        <f t="shared" ref="E117:G132" si="13">D117*E$3</f>
        <v>254.82709648466772</v>
      </c>
      <c r="F117" s="17">
        <f t="shared" si="13"/>
        <v>560.61961226626897</v>
      </c>
      <c r="G117" s="17">
        <f t="shared" si="13"/>
        <v>1233.3631469857919</v>
      </c>
      <c r="H117" s="4"/>
      <c r="I117" s="13"/>
    </row>
    <row r="118" spans="1:11">
      <c r="A118" s="13">
        <v>115</v>
      </c>
      <c r="B118" s="19">
        <f t="shared" si="10"/>
        <v>2257.7204436211678</v>
      </c>
      <c r="C118" s="19">
        <f t="shared" si="7"/>
        <v>96.630434986985989</v>
      </c>
      <c r="D118" s="20">
        <f t="shared" si="8"/>
        <v>120.78804373373248</v>
      </c>
      <c r="E118" s="17">
        <f t="shared" si="13"/>
        <v>265.73369621421148</v>
      </c>
      <c r="F118" s="17">
        <f t="shared" si="13"/>
        <v>584.61413167126534</v>
      </c>
      <c r="G118" s="17">
        <f t="shared" si="13"/>
        <v>1286.1510896767838</v>
      </c>
      <c r="H118" s="4"/>
      <c r="I118" s="13">
        <f>76/15</f>
        <v>5.0666666666666664</v>
      </c>
    </row>
    <row r="119" spans="1:11">
      <c r="A119" s="13">
        <v>116</v>
      </c>
      <c r="B119" s="19">
        <f t="shared" si="10"/>
        <v>2354.3508786081538</v>
      </c>
      <c r="C119" s="19">
        <f t="shared" si="7"/>
        <v>100.76621760442899</v>
      </c>
      <c r="D119" s="20">
        <f t="shared" si="8"/>
        <v>125.95777200553623</v>
      </c>
      <c r="E119" s="17">
        <f t="shared" si="13"/>
        <v>277.10709841217971</v>
      </c>
      <c r="F119" s="17">
        <f t="shared" si="13"/>
        <v>609.63561650679537</v>
      </c>
      <c r="G119" s="17">
        <f t="shared" si="13"/>
        <v>1341.1983563149499</v>
      </c>
      <c r="H119" s="4"/>
      <c r="I119" s="13"/>
    </row>
    <row r="120" spans="1:11">
      <c r="A120" s="13">
        <v>117</v>
      </c>
      <c r="B120" s="19">
        <f t="shared" si="10"/>
        <v>2455.117096212583</v>
      </c>
      <c r="C120" s="19">
        <f t="shared" si="7"/>
        <v>105.07901171789854</v>
      </c>
      <c r="D120" s="20">
        <f t="shared" si="8"/>
        <v>131.34876464737317</v>
      </c>
      <c r="E120" s="17">
        <f t="shared" si="13"/>
        <v>288.96728222422098</v>
      </c>
      <c r="F120" s="17">
        <f t="shared" si="13"/>
        <v>635.72802089328616</v>
      </c>
      <c r="G120" s="17">
        <f t="shared" si="13"/>
        <v>1398.6016459652296</v>
      </c>
      <c r="H120" s="4"/>
      <c r="I120" s="13"/>
    </row>
    <row r="121" spans="1:11">
      <c r="A121" s="13">
        <v>118</v>
      </c>
      <c r="B121" s="19">
        <f t="shared" si="10"/>
        <v>2560.1961079304815</v>
      </c>
      <c r="C121" s="19">
        <f t="shared" si="7"/>
        <v>109.57639341942462</v>
      </c>
      <c r="D121" s="20">
        <f t="shared" si="8"/>
        <v>136.97049177428076</v>
      </c>
      <c r="E121" s="17">
        <f t="shared" si="13"/>
        <v>301.33508190341769</v>
      </c>
      <c r="F121" s="17">
        <f t="shared" si="13"/>
        <v>662.93718018751895</v>
      </c>
      <c r="G121" s="17">
        <f t="shared" si="13"/>
        <v>1458.4617964125418</v>
      </c>
      <c r="H121" s="4"/>
      <c r="I121" s="13"/>
    </row>
    <row r="122" spans="1:11">
      <c r="A122" s="13">
        <v>119</v>
      </c>
      <c r="B122" s="19">
        <f t="shared" si="10"/>
        <v>2669.7725013499062</v>
      </c>
      <c r="C122" s="19">
        <f t="shared" si="7"/>
        <v>114.26626305777597</v>
      </c>
      <c r="D122" s="20">
        <f t="shared" si="8"/>
        <v>142.83282882221997</v>
      </c>
      <c r="E122" s="17">
        <f t="shared" si="13"/>
        <v>314.23222340888395</v>
      </c>
      <c r="F122" s="17">
        <f t="shared" si="13"/>
        <v>691.31089149954471</v>
      </c>
      <c r="G122" s="17">
        <f t="shared" si="13"/>
        <v>1520.8839612989984</v>
      </c>
      <c r="H122" s="4"/>
      <c r="I122" s="13"/>
    </row>
    <row r="123" spans="1:11">
      <c r="A123" s="13">
        <v>120</v>
      </c>
      <c r="B123" s="19">
        <f t="shared" si="10"/>
        <v>2784.0387644076823</v>
      </c>
      <c r="C123" s="19">
        <f t="shared" si="7"/>
        <v>119.1568591166488</v>
      </c>
      <c r="D123" s="20">
        <f t="shared" si="8"/>
        <v>148.946073895811</v>
      </c>
      <c r="E123" s="17">
        <f t="shared" si="13"/>
        <v>327.68136257078424</v>
      </c>
      <c r="F123" s="17">
        <f t="shared" si="13"/>
        <v>720.89899765572545</v>
      </c>
      <c r="G123" s="17">
        <f t="shared" si="13"/>
        <v>1585.977794842596</v>
      </c>
      <c r="H123" s="4"/>
      <c r="I123" s="13"/>
      <c r="K123" s="18"/>
    </row>
    <row r="124" spans="1:11">
      <c r="A124" s="13">
        <v>121</v>
      </c>
      <c r="B124" s="19">
        <f t="shared" si="10"/>
        <v>2903.195623524331</v>
      </c>
      <c r="C124" s="19">
        <f t="shared" si="7"/>
        <v>124.25677268684137</v>
      </c>
      <c r="D124" s="20">
        <f t="shared" si="8"/>
        <v>155.32096585855172</v>
      </c>
      <c r="E124" s="17">
        <f t="shared" si="13"/>
        <v>341.7061248888138</v>
      </c>
      <c r="F124" s="17">
        <f t="shared" si="13"/>
        <v>751.75347475539047</v>
      </c>
      <c r="G124" s="17">
        <f t="shared" si="13"/>
        <v>1653.8576444618591</v>
      </c>
      <c r="H124" s="4"/>
      <c r="I124" s="13"/>
    </row>
    <row r="125" spans="1:11">
      <c r="A125" s="13">
        <v>122</v>
      </c>
      <c r="B125" s="19">
        <f t="shared" si="10"/>
        <v>3027.4523962111725</v>
      </c>
      <c r="C125" s="19">
        <f t="shared" si="7"/>
        <v>129.57496255783818</v>
      </c>
      <c r="D125" s="20">
        <f t="shared" si="8"/>
        <v>161.96870319729771</v>
      </c>
      <c r="E125" s="17">
        <f t="shared" si="13"/>
        <v>356.33114703405499</v>
      </c>
      <c r="F125" s="17">
        <f t="shared" si="13"/>
        <v>783.92852347492101</v>
      </c>
      <c r="G125" s="17">
        <f t="shared" si="13"/>
        <v>1724.6427516448264</v>
      </c>
      <c r="H125" s="4"/>
      <c r="I125" s="13"/>
    </row>
    <row r="126" spans="1:11">
      <c r="A126" s="13">
        <v>123</v>
      </c>
      <c r="B126" s="19">
        <f t="shared" si="10"/>
        <v>3157.0273587690108</v>
      </c>
      <c r="C126" s="19">
        <f t="shared" si="7"/>
        <v>135.12077095531365</v>
      </c>
      <c r="D126" s="20">
        <f t="shared" si="8"/>
        <v>168.90096369414206</v>
      </c>
      <c r="E126" s="17">
        <f t="shared" si="13"/>
        <v>371.58212012711255</v>
      </c>
      <c r="F126" s="17">
        <f t="shared" si="13"/>
        <v>817.48066427964761</v>
      </c>
      <c r="G126" s="17">
        <f t="shared" si="13"/>
        <v>1798.457461415225</v>
      </c>
      <c r="H126" s="4"/>
      <c r="I126" s="13"/>
    </row>
    <row r="127" spans="1:11">
      <c r="A127" s="13">
        <v>124</v>
      </c>
      <c r="B127" s="19">
        <f t="shared" si="10"/>
        <v>3292.1481297243245</v>
      </c>
      <c r="C127" s="19">
        <f t="shared" si="7"/>
        <v>140.90393995220109</v>
      </c>
      <c r="D127" s="20">
        <f t="shared" si="8"/>
        <v>176.12992494025136</v>
      </c>
      <c r="E127" s="17">
        <f t="shared" si="13"/>
        <v>387.48583486855301</v>
      </c>
      <c r="F127" s="17">
        <f t="shared" si="13"/>
        <v>852.46883671081673</v>
      </c>
      <c r="G127" s="17">
        <f t="shared" si="13"/>
        <v>1875.4314407637969</v>
      </c>
      <c r="H127" s="4"/>
      <c r="I127" s="13"/>
    </row>
    <row r="128" spans="1:11">
      <c r="A128" s="13">
        <v>125</v>
      </c>
      <c r="B128" s="19">
        <f t="shared" si="10"/>
        <v>3433.0520696765257</v>
      </c>
      <c r="C128" s="19">
        <f t="shared" si="7"/>
        <v>146.93462858215531</v>
      </c>
      <c r="D128" s="20">
        <f t="shared" si="8"/>
        <v>183.66828572769413</v>
      </c>
      <c r="E128" s="17">
        <f t="shared" si="13"/>
        <v>404.07022860092712</v>
      </c>
      <c r="F128" s="17">
        <f t="shared" si="13"/>
        <v>888.95450292203975</v>
      </c>
      <c r="G128" s="17">
        <f t="shared" si="13"/>
        <v>1955.6999064284876</v>
      </c>
      <c r="H128" s="4"/>
      <c r="I128" s="13"/>
    </row>
    <row r="129" spans="1:10">
      <c r="A129" s="13">
        <v>126</v>
      </c>
      <c r="B129" s="19">
        <f t="shared" si="10"/>
        <v>3579.9866982586809</v>
      </c>
      <c r="C129" s="19">
        <f t="shared" si="7"/>
        <v>153.22343068547156</v>
      </c>
      <c r="D129" s="20">
        <f t="shared" si="8"/>
        <v>191.52928835683943</v>
      </c>
      <c r="E129" s="17">
        <f t="shared" si="13"/>
        <v>421.36443438504676</v>
      </c>
      <c r="F129" s="17">
        <f t="shared" si="13"/>
        <v>927.00175564710298</v>
      </c>
      <c r="G129" s="17">
        <f t="shared" si="13"/>
        <v>2039.4038624236268</v>
      </c>
      <c r="H129" s="4"/>
      <c r="I129" s="13"/>
    </row>
    <row r="130" spans="1:10">
      <c r="A130" s="13">
        <v>127</v>
      </c>
      <c r="B130" s="19">
        <f t="shared" si="10"/>
        <v>3733.2101289441525</v>
      </c>
      <c r="C130" s="19">
        <f t="shared" si="7"/>
        <v>159.78139351880975</v>
      </c>
      <c r="D130" s="20">
        <f t="shared" si="8"/>
        <v>199.72674189851216</v>
      </c>
      <c r="E130" s="17">
        <f t="shared" si="13"/>
        <v>439.39883217672678</v>
      </c>
      <c r="F130" s="17">
        <f t="shared" si="13"/>
        <v>966.67743078879903</v>
      </c>
      <c r="G130" s="17">
        <f t="shared" si="13"/>
        <v>2126.690347735358</v>
      </c>
      <c r="H130" s="4"/>
      <c r="I130" s="13"/>
    </row>
    <row r="131" spans="1:10">
      <c r="A131" s="13">
        <v>128</v>
      </c>
      <c r="B131" s="19">
        <f t="shared" si="10"/>
        <v>3892.9915224629622</v>
      </c>
      <c r="C131" s="19">
        <f t="shared" si="7"/>
        <v>166.62003716141479</v>
      </c>
      <c r="D131" s="20">
        <f t="shared" si="8"/>
        <v>208.27504645176847</v>
      </c>
      <c r="E131" s="17">
        <f t="shared" si="13"/>
        <v>458.2051021938907</v>
      </c>
      <c r="F131" s="17">
        <f t="shared" si="13"/>
        <v>1008.0512248265596</v>
      </c>
      <c r="G131" s="17">
        <f t="shared" si="13"/>
        <v>2217.7126946184312</v>
      </c>
      <c r="H131" s="4"/>
      <c r="I131" s="13"/>
    </row>
    <row r="132" spans="1:10">
      <c r="A132" s="13">
        <v>129</v>
      </c>
      <c r="B132" s="19">
        <f t="shared" si="10"/>
        <v>4059.6115596243772</v>
      </c>
      <c r="C132" s="19">
        <f t="shared" si="7"/>
        <v>173.75137475192335</v>
      </c>
      <c r="D132" s="20">
        <f t="shared" si="8"/>
        <v>217.18921843990418</v>
      </c>
      <c r="E132" s="17">
        <f t="shared" si="13"/>
        <v>477.81628056778925</v>
      </c>
      <c r="F132" s="17">
        <f t="shared" si="13"/>
        <v>1051.1958172491363</v>
      </c>
      <c r="G132" s="17">
        <f t="shared" si="13"/>
        <v>2312.6307979481003</v>
      </c>
      <c r="H132" s="4"/>
      <c r="I132" s="13"/>
    </row>
    <row r="133" spans="1:10">
      <c r="A133" s="13">
        <v>130</v>
      </c>
      <c r="B133" s="19">
        <f t="shared" si="10"/>
        <v>4233.3629343763005</v>
      </c>
      <c r="C133" s="19">
        <f t="shared" ref="C133:C160" si="14">D133*C$3</f>
        <v>181.18793359130567</v>
      </c>
      <c r="D133" s="20">
        <f t="shared" ref="D133:D160" si="15">B133*D$3</f>
        <v>226.48491698913207</v>
      </c>
      <c r="E133" s="17">
        <f t="shared" ref="E133:G148" si="16">D133*E$3</f>
        <v>498.26681737609061</v>
      </c>
      <c r="F133" s="17">
        <f t="shared" si="16"/>
        <v>1096.1869982273995</v>
      </c>
      <c r="G133" s="17">
        <f t="shared" si="16"/>
        <v>2411.6113961002793</v>
      </c>
      <c r="H133" s="4"/>
      <c r="I133" s="13"/>
    </row>
    <row r="134" spans="1:10">
      <c r="A134" s="13">
        <v>131</v>
      </c>
      <c r="B134" s="19">
        <f t="shared" si="10"/>
        <v>4414.5508679676059</v>
      </c>
      <c r="C134" s="19">
        <f t="shared" si="14"/>
        <v>188.94277714901352</v>
      </c>
      <c r="D134" s="20">
        <f t="shared" si="15"/>
        <v>236.1784714362669</v>
      </c>
      <c r="E134" s="17">
        <f t="shared" si="16"/>
        <v>519.59263715978727</v>
      </c>
      <c r="F134" s="17">
        <f t="shared" si="16"/>
        <v>1143.103801751532</v>
      </c>
      <c r="G134" s="17">
        <f t="shared" si="16"/>
        <v>2514.8283638533708</v>
      </c>
      <c r="H134" s="4"/>
      <c r="I134" s="13"/>
    </row>
    <row r="135" spans="1:10">
      <c r="A135" s="13">
        <v>132</v>
      </c>
      <c r="B135" s="19">
        <f t="shared" si="10"/>
        <v>4603.4936451166195</v>
      </c>
      <c r="C135" s="19">
        <f t="shared" si="14"/>
        <v>197.02952801099133</v>
      </c>
      <c r="D135" s="20">
        <f t="shared" si="15"/>
        <v>246.28691001373915</v>
      </c>
      <c r="E135" s="17">
        <f t="shared" si="16"/>
        <v>541.83120203022611</v>
      </c>
      <c r="F135" s="17">
        <f t="shared" si="16"/>
        <v>1192.0286444664976</v>
      </c>
      <c r="G135" s="17">
        <f t="shared" si="16"/>
        <v>2622.4630178262946</v>
      </c>
      <c r="H135" s="4"/>
      <c r="I135" s="13"/>
    </row>
    <row r="136" spans="1:10">
      <c r="A136" s="13">
        <v>133</v>
      </c>
      <c r="B136" s="19">
        <f t="shared" si="10"/>
        <v>4800.5231731276108</v>
      </c>
      <c r="C136" s="19">
        <f t="shared" si="14"/>
        <v>205.46239180986174</v>
      </c>
      <c r="D136" s="20">
        <f t="shared" si="15"/>
        <v>256.82798976232715</v>
      </c>
      <c r="E136" s="17">
        <f t="shared" si="16"/>
        <v>565.02157747711976</v>
      </c>
      <c r="F136" s="17">
        <f t="shared" si="16"/>
        <v>1243.0474704496635</v>
      </c>
      <c r="G136" s="17">
        <f t="shared" si="16"/>
        <v>2734.7044349892599</v>
      </c>
      <c r="H136" s="4"/>
      <c r="I136" s="13"/>
    </row>
    <row r="137" spans="1:10">
      <c r="A137" s="13">
        <v>134</v>
      </c>
      <c r="B137" s="19">
        <f t="shared" ref="B137:B160" si="17">B136+C136</f>
        <v>5005.9855649374722</v>
      </c>
      <c r="C137" s="19">
        <f t="shared" si="14"/>
        <v>214.25618217932379</v>
      </c>
      <c r="D137" s="20">
        <f t="shared" si="15"/>
        <v>267.82022772415473</v>
      </c>
      <c r="E137" s="17">
        <f t="shared" si="16"/>
        <v>589.20450099314041</v>
      </c>
      <c r="F137" s="17">
        <f t="shared" si="16"/>
        <v>1296.2499021849089</v>
      </c>
      <c r="G137" s="17">
        <f t="shared" si="16"/>
        <v>2851.7497848068001</v>
      </c>
      <c r="H137" s="4"/>
      <c r="I137" s="13"/>
    </row>
    <row r="138" spans="1:10">
      <c r="A138" s="13">
        <v>135</v>
      </c>
      <c r="B138" s="19">
        <f t="shared" si="17"/>
        <v>5220.2417471167955</v>
      </c>
      <c r="C138" s="19">
        <f t="shared" si="14"/>
        <v>223.42634677659885</v>
      </c>
      <c r="D138" s="20">
        <f t="shared" si="15"/>
        <v>279.28293347074856</v>
      </c>
      <c r="E138" s="17">
        <f t="shared" si="16"/>
        <v>614.42245363564689</v>
      </c>
      <c r="F138" s="17">
        <f t="shared" si="16"/>
        <v>1351.7293979984233</v>
      </c>
      <c r="G138" s="17">
        <f t="shared" si="16"/>
        <v>2973.8046755965315</v>
      </c>
      <c r="H138" s="4"/>
      <c r="I138" s="13"/>
    </row>
    <row r="139" spans="1:10">
      <c r="A139" s="13">
        <v>136</v>
      </c>
      <c r="B139" s="19">
        <f t="shared" si="17"/>
        <v>5443.6680938933941</v>
      </c>
      <c r="C139" s="19">
        <f t="shared" si="14"/>
        <v>232.98899441863728</v>
      </c>
      <c r="D139" s="20">
        <f t="shared" si="15"/>
        <v>291.23624302329659</v>
      </c>
      <c r="E139" s="17">
        <f t="shared" si="16"/>
        <v>640.71973465125257</v>
      </c>
      <c r="F139" s="17">
        <f t="shared" si="16"/>
        <v>1409.5834162327558</v>
      </c>
      <c r="G139" s="17">
        <f t="shared" si="16"/>
        <v>3101.0835157120628</v>
      </c>
      <c r="H139" s="4"/>
      <c r="I139" s="13"/>
    </row>
    <row r="140" spans="1:10">
      <c r="A140" s="13">
        <v>137</v>
      </c>
      <c r="B140" s="19">
        <f t="shared" si="17"/>
        <v>5676.6570883120312</v>
      </c>
      <c r="C140" s="19">
        <f t="shared" si="14"/>
        <v>242.96092337975495</v>
      </c>
      <c r="D140" s="20">
        <f t="shared" si="15"/>
        <v>303.70115422469365</v>
      </c>
      <c r="E140" s="17">
        <f t="shared" si="16"/>
        <v>668.14253929432607</v>
      </c>
      <c r="F140" s="17">
        <f t="shared" si="16"/>
        <v>1469.9135864475174</v>
      </c>
      <c r="G140" s="17">
        <f t="shared" si="16"/>
        <v>3233.8098901845387</v>
      </c>
      <c r="H140" s="4"/>
      <c r="I140" s="13"/>
      <c r="J140">
        <f>140/4</f>
        <v>35</v>
      </c>
    </row>
    <row r="141" spans="1:10">
      <c r="A141" s="13">
        <v>138</v>
      </c>
      <c r="B141" s="19">
        <f t="shared" si="17"/>
        <v>5919.6180116917858</v>
      </c>
      <c r="C141" s="19">
        <f t="shared" si="14"/>
        <v>253.35965090040841</v>
      </c>
      <c r="D141" s="20">
        <f t="shared" si="15"/>
        <v>316.69956362551051</v>
      </c>
      <c r="E141" s="17">
        <f t="shared" si="16"/>
        <v>696.73903997612319</v>
      </c>
      <c r="F141" s="17">
        <f t="shared" si="16"/>
        <v>1532.8258879474711</v>
      </c>
      <c r="G141" s="17">
        <f t="shared" si="16"/>
        <v>3372.2169534844365</v>
      </c>
      <c r="H141" s="4"/>
      <c r="I141" s="13"/>
    </row>
    <row r="142" spans="1:10">
      <c r="A142" s="13">
        <v>139</v>
      </c>
      <c r="B142" s="19">
        <f t="shared" si="17"/>
        <v>6172.9776625921941</v>
      </c>
      <c r="C142" s="19">
        <f t="shared" si="14"/>
        <v>264.20344395894591</v>
      </c>
      <c r="D142" s="20">
        <f t="shared" si="15"/>
        <v>330.25430494868237</v>
      </c>
      <c r="E142" s="17">
        <f t="shared" si="16"/>
        <v>726.55947088710127</v>
      </c>
      <c r="F142" s="17">
        <f t="shared" si="16"/>
        <v>1598.4308359516228</v>
      </c>
      <c r="G142" s="17">
        <f t="shared" si="16"/>
        <v>3516.5478390935705</v>
      </c>
      <c r="H142" s="4"/>
      <c r="I142" s="13"/>
    </row>
    <row r="143" spans="1:10">
      <c r="A143" s="13">
        <v>140</v>
      </c>
      <c r="B143" s="19">
        <f t="shared" si="17"/>
        <v>6437.1811065511401</v>
      </c>
      <c r="C143" s="19">
        <f t="shared" si="14"/>
        <v>275.5113513603888</v>
      </c>
      <c r="D143" s="20">
        <f t="shared" si="15"/>
        <v>344.38918920048599</v>
      </c>
      <c r="E143" s="17">
        <f t="shared" si="16"/>
        <v>757.65621624106927</v>
      </c>
      <c r="F143" s="17">
        <f t="shared" si="16"/>
        <v>1666.8436757303525</v>
      </c>
      <c r="G143" s="17">
        <f t="shared" si="16"/>
        <v>3667.0560866067758</v>
      </c>
      <c r="H143" s="4"/>
      <c r="I143" s="13"/>
    </row>
    <row r="144" spans="1:10">
      <c r="A144" s="13">
        <v>141</v>
      </c>
      <c r="B144" s="19">
        <f t="shared" si="17"/>
        <v>6712.6924579115293</v>
      </c>
      <c r="C144" s="19">
        <f t="shared" si="14"/>
        <v>287.30323719861343</v>
      </c>
      <c r="D144" s="20">
        <f t="shared" si="15"/>
        <v>359.1290464982668</v>
      </c>
      <c r="E144" s="17">
        <f t="shared" si="16"/>
        <v>790.08390229618703</v>
      </c>
      <c r="F144" s="17">
        <f t="shared" si="16"/>
        <v>1738.1845850516115</v>
      </c>
      <c r="G144" s="17">
        <f t="shared" si="16"/>
        <v>3824.0060871135456</v>
      </c>
      <c r="H144" s="4"/>
      <c r="I144" s="13"/>
    </row>
    <row r="145" spans="1:11">
      <c r="A145" s="13">
        <v>142</v>
      </c>
      <c r="B145" s="19">
        <f t="shared" si="17"/>
        <v>6999.9956951101431</v>
      </c>
      <c r="C145" s="19">
        <f t="shared" si="14"/>
        <v>299.59981575071413</v>
      </c>
      <c r="D145" s="20">
        <f t="shared" si="15"/>
        <v>374.49976968839263</v>
      </c>
      <c r="E145" s="17">
        <f t="shared" si="16"/>
        <v>823.89949331446383</v>
      </c>
      <c r="F145" s="17">
        <f t="shared" si="16"/>
        <v>1812.5788852918206</v>
      </c>
      <c r="G145" s="17">
        <f t="shared" si="16"/>
        <v>3987.6735476420058</v>
      </c>
      <c r="H145" s="4"/>
      <c r="I145" s="13"/>
    </row>
    <row r="146" spans="1:11">
      <c r="A146" s="13">
        <v>143</v>
      </c>
      <c r="B146" s="19">
        <f t="shared" si="17"/>
        <v>7299.5955108608568</v>
      </c>
      <c r="C146" s="19">
        <f t="shared" si="14"/>
        <v>312.42268786484465</v>
      </c>
      <c r="D146" s="20">
        <f t="shared" si="15"/>
        <v>390.52835983105581</v>
      </c>
      <c r="E146" s="17">
        <f t="shared" si="16"/>
        <v>859.16239162832289</v>
      </c>
      <c r="F146" s="17">
        <f t="shared" si="16"/>
        <v>1890.1572615823104</v>
      </c>
      <c r="G146" s="17">
        <f t="shared" si="16"/>
        <v>4158.3459754810829</v>
      </c>
      <c r="H146" s="4"/>
      <c r="I146" s="13"/>
    </row>
    <row r="147" spans="1:11">
      <c r="A147" s="13">
        <v>144</v>
      </c>
      <c r="B147" s="19">
        <f t="shared" si="17"/>
        <v>7612.018198725702</v>
      </c>
      <c r="C147" s="19">
        <f t="shared" si="14"/>
        <v>325.79437890546006</v>
      </c>
      <c r="D147" s="20">
        <f t="shared" si="15"/>
        <v>407.24297363182507</v>
      </c>
      <c r="E147" s="17">
        <f t="shared" si="16"/>
        <v>895.93454199001519</v>
      </c>
      <c r="F147" s="17">
        <f t="shared" si="16"/>
        <v>1971.0559923780336</v>
      </c>
      <c r="G147" s="17">
        <f t="shared" si="16"/>
        <v>4336.3231832316742</v>
      </c>
      <c r="H147" s="4"/>
      <c r="I147" s="13"/>
    </row>
    <row r="148" spans="1:11">
      <c r="A148" s="13">
        <v>145</v>
      </c>
      <c r="B148" s="19">
        <f t="shared" si="17"/>
        <v>7937.8125776311617</v>
      </c>
      <c r="C148" s="19">
        <f t="shared" si="14"/>
        <v>339.7383783226137</v>
      </c>
      <c r="D148" s="20">
        <f t="shared" si="15"/>
        <v>424.67297290326712</v>
      </c>
      <c r="E148" s="17">
        <f t="shared" si="16"/>
        <v>934.28054038718778</v>
      </c>
      <c r="F148" s="17">
        <f t="shared" si="16"/>
        <v>2055.4171888518131</v>
      </c>
      <c r="G148" s="17">
        <f t="shared" si="16"/>
        <v>4521.9178154739893</v>
      </c>
      <c r="H148" s="4"/>
      <c r="I148" s="13"/>
    </row>
    <row r="149" spans="1:11">
      <c r="A149">
        <v>146</v>
      </c>
      <c r="B149" s="19">
        <f t="shared" si="17"/>
        <v>8277.550955953775</v>
      </c>
      <c r="C149" s="19">
        <f t="shared" si="14"/>
        <v>354.27918091482161</v>
      </c>
      <c r="D149" s="20">
        <f t="shared" si="15"/>
        <v>442.84897614352695</v>
      </c>
      <c r="E149" s="17">
        <f t="shared" ref="E149:G160" si="18">D149*E$3</f>
        <v>974.26774751575942</v>
      </c>
      <c r="F149" s="17">
        <f t="shared" si="18"/>
        <v>2143.389044534671</v>
      </c>
      <c r="G149" s="17">
        <f t="shared" si="18"/>
        <v>4715.4558979762769</v>
      </c>
      <c r="H149" s="4"/>
    </row>
    <row r="150" spans="1:11">
      <c r="A150">
        <v>147</v>
      </c>
      <c r="B150" s="19">
        <f t="shared" si="17"/>
        <v>8631.830136868597</v>
      </c>
      <c r="C150" s="19">
        <f t="shared" si="14"/>
        <v>369.44232985797595</v>
      </c>
      <c r="D150" s="20">
        <f t="shared" si="15"/>
        <v>461.80291232246992</v>
      </c>
      <c r="E150" s="17">
        <f t="shared" si="18"/>
        <v>1015.9664071094339</v>
      </c>
      <c r="F150" s="17">
        <f t="shared" si="18"/>
        <v>2235.126095640755</v>
      </c>
      <c r="G150" s="17">
        <f t="shared" si="18"/>
        <v>4917.2774104096616</v>
      </c>
      <c r="H150" s="4"/>
    </row>
    <row r="151" spans="1:11">
      <c r="A151">
        <v>148</v>
      </c>
      <c r="B151" s="19">
        <f t="shared" si="17"/>
        <v>9001.2724667265738</v>
      </c>
      <c r="C151" s="19">
        <f t="shared" si="14"/>
        <v>385.25446157589738</v>
      </c>
      <c r="D151" s="20">
        <f t="shared" si="15"/>
        <v>481.5680769698717</v>
      </c>
      <c r="E151" s="17">
        <f t="shared" si="18"/>
        <v>1059.4497693337178</v>
      </c>
      <c r="F151" s="17">
        <f t="shared" si="18"/>
        <v>2330.7894925341793</v>
      </c>
      <c r="G151" s="17">
        <f t="shared" si="18"/>
        <v>5127.736883575195</v>
      </c>
      <c r="H151" s="4"/>
    </row>
    <row r="152" spans="1:11">
      <c r="A152">
        <v>149</v>
      </c>
      <c r="B152" s="19">
        <f t="shared" si="17"/>
        <v>9386.5269283024718</v>
      </c>
      <c r="C152" s="19">
        <f t="shared" si="14"/>
        <v>401.74335253134581</v>
      </c>
      <c r="D152" s="20">
        <f t="shared" si="15"/>
        <v>502.17919066418222</v>
      </c>
      <c r="E152" s="17">
        <f t="shared" si="18"/>
        <v>1104.794219461201</v>
      </c>
      <c r="F152" s="17">
        <f t="shared" si="18"/>
        <v>2430.5472828146426</v>
      </c>
      <c r="G152" s="17">
        <f t="shared" si="18"/>
        <v>5347.2040221922143</v>
      </c>
      <c r="H152" s="4"/>
    </row>
    <row r="153" spans="1:11">
      <c r="A153">
        <v>150</v>
      </c>
      <c r="B153" s="19">
        <f t="shared" si="17"/>
        <v>9788.2702808338181</v>
      </c>
      <c r="C153" s="19">
        <f t="shared" si="14"/>
        <v>418.93796801968739</v>
      </c>
      <c r="D153" s="20">
        <f t="shared" si="15"/>
        <v>523.67246002460922</v>
      </c>
      <c r="E153" s="17">
        <f t="shared" si="18"/>
        <v>1152.0794120541404</v>
      </c>
      <c r="F153" s="17">
        <f t="shared" si="18"/>
        <v>2534.574706519109</v>
      </c>
      <c r="G153" s="17">
        <f t="shared" si="18"/>
        <v>5576.0643543420401</v>
      </c>
      <c r="H153" s="4"/>
    </row>
    <row r="154" spans="1:11">
      <c r="A154">
        <v>151</v>
      </c>
      <c r="B154" s="19">
        <f t="shared" si="17"/>
        <v>10207.208248853505</v>
      </c>
      <c r="C154" s="19">
        <f t="shared" si="14"/>
        <v>436.86851305093006</v>
      </c>
      <c r="D154" s="20">
        <f t="shared" si="15"/>
        <v>546.08564131366256</v>
      </c>
      <c r="E154" s="17">
        <f t="shared" si="18"/>
        <v>1201.3884108900577</v>
      </c>
      <c r="F154" s="17">
        <f t="shared" si="18"/>
        <v>2643.054503958127</v>
      </c>
      <c r="G154" s="17">
        <f t="shared" si="18"/>
        <v>5814.7199087078798</v>
      </c>
      <c r="H154" s="4"/>
    </row>
    <row r="155" spans="1:11">
      <c r="A155">
        <v>152</v>
      </c>
      <c r="B155" s="19">
        <f t="shared" si="17"/>
        <v>10644.076761904435</v>
      </c>
      <c r="C155" s="19">
        <f t="shared" si="14"/>
        <v>455.56648540950982</v>
      </c>
      <c r="D155" s="20">
        <f t="shared" si="15"/>
        <v>569.45810676188728</v>
      </c>
      <c r="E155" s="17">
        <f t="shared" si="18"/>
        <v>1252.8078348761521</v>
      </c>
      <c r="F155" s="17">
        <f t="shared" si="18"/>
        <v>2756.1772367275348</v>
      </c>
      <c r="G155" s="17">
        <f t="shared" si="18"/>
        <v>6063.5899208005767</v>
      </c>
      <c r="H155" s="4"/>
    </row>
    <row r="156" spans="1:11">
      <c r="A156">
        <v>153</v>
      </c>
      <c r="B156" s="19">
        <f t="shared" si="17"/>
        <v>11099.643247313945</v>
      </c>
      <c r="C156" s="19">
        <f t="shared" si="14"/>
        <v>475.06473098503687</v>
      </c>
      <c r="D156" s="20">
        <f t="shared" si="15"/>
        <v>593.83091373129605</v>
      </c>
      <c r="E156" s="17">
        <f t="shared" si="18"/>
        <v>1306.4280102088514</v>
      </c>
      <c r="F156" s="17">
        <f t="shared" si="18"/>
        <v>2874.1416224594736</v>
      </c>
      <c r="G156" s="17">
        <f t="shared" si="18"/>
        <v>6323.1115694108421</v>
      </c>
      <c r="H156" s="4"/>
    </row>
    <row r="157" spans="1:11">
      <c r="A157">
        <v>154</v>
      </c>
      <c r="B157" s="19">
        <f t="shared" si="17"/>
        <v>11574.707978298982</v>
      </c>
      <c r="C157" s="19">
        <f t="shared" si="14"/>
        <v>495.39750147119639</v>
      </c>
      <c r="D157" s="20">
        <f t="shared" si="15"/>
        <v>619.24687683899549</v>
      </c>
      <c r="E157" s="17">
        <f t="shared" si="18"/>
        <v>1362.3431290457902</v>
      </c>
      <c r="F157" s="17">
        <f t="shared" si="18"/>
        <v>2997.1548839007387</v>
      </c>
      <c r="G157" s="17">
        <f t="shared" si="18"/>
        <v>6593.7407445816252</v>
      </c>
      <c r="H157" s="4"/>
    </row>
    <row r="158" spans="1:11">
      <c r="A158">
        <v>155</v>
      </c>
      <c r="B158" s="19">
        <f t="shared" si="17"/>
        <v>12070.105479770178</v>
      </c>
      <c r="C158" s="19">
        <f t="shared" si="14"/>
        <v>516.60051453416361</v>
      </c>
      <c r="D158" s="20">
        <f t="shared" si="15"/>
        <v>645.75064316770454</v>
      </c>
      <c r="E158" s="17">
        <f t="shared" si="18"/>
        <v>1420.6514149689501</v>
      </c>
      <c r="F158" s="17">
        <f t="shared" si="18"/>
        <v>3125.4331129316906</v>
      </c>
      <c r="G158" s="17">
        <f t="shared" si="18"/>
        <v>6875.9528484497196</v>
      </c>
      <c r="H158" s="4"/>
    </row>
    <row r="159" spans="1:11">
      <c r="A159">
        <v>156</v>
      </c>
      <c r="B159" s="19">
        <f t="shared" si="17"/>
        <v>12586.705994304342</v>
      </c>
      <c r="C159" s="19">
        <f t="shared" si="14"/>
        <v>538.7110165562259</v>
      </c>
      <c r="D159" s="20">
        <f t="shared" si="15"/>
        <v>673.38877069528235</v>
      </c>
      <c r="E159" s="17">
        <f t="shared" si="18"/>
        <v>1481.4552955296213</v>
      </c>
      <c r="F159" s="17">
        <f t="shared" si="18"/>
        <v>3259.2016501651669</v>
      </c>
      <c r="G159" s="17">
        <f t="shared" si="18"/>
        <v>7170.2436303633676</v>
      </c>
      <c r="H159" s="4"/>
    </row>
    <row r="160" spans="1:11">
      <c r="A160">
        <v>157</v>
      </c>
      <c r="B160" s="19">
        <f t="shared" si="17"/>
        <v>13125.417010860569</v>
      </c>
      <c r="C160" s="19">
        <f t="shared" si="14"/>
        <v>561.76784806483226</v>
      </c>
      <c r="D160" s="20">
        <f t="shared" si="15"/>
        <v>702.20981008104036</v>
      </c>
      <c r="E160" s="17">
        <f t="shared" si="18"/>
        <v>1544.8615821782889</v>
      </c>
      <c r="F160" s="17">
        <f t="shared" si="18"/>
        <v>3398.6954807922361</v>
      </c>
      <c r="G160" s="17">
        <f t="shared" si="18"/>
        <v>7477.1300577429201</v>
      </c>
      <c r="H160" s="4"/>
      <c r="I160">
        <f>160/24</f>
        <v>6.666666666666667</v>
      </c>
      <c r="K160" s="18">
        <f>B160*16800</f>
        <v>220507005.78245756</v>
      </c>
    </row>
  </sheetData>
  <mergeCells count="4">
    <mergeCell ref="A1:A2"/>
    <mergeCell ref="B1:C2"/>
    <mergeCell ref="D1:G1"/>
    <mergeCell ref="H2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Laksana</dc:creator>
  <cp:lastModifiedBy>Aditia Laksana</cp:lastModifiedBy>
  <dcterms:created xsi:type="dcterms:W3CDTF">2026-03-02T13:56:48Z</dcterms:created>
  <dcterms:modified xsi:type="dcterms:W3CDTF">2026-03-02T13:57:58Z</dcterms:modified>
</cp:coreProperties>
</file>